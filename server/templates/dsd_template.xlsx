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ctrlProps/ctrlProps76.xml" ContentType="application/vnd.ms-excel.controlproperties+xml"/>
  <Override PartName="/xl/ctrlProps/ctrlProps103.xml" ContentType="application/vnd.ms-excel.controlproperties+xml"/>
  <Override PartName="/xl/ctrlProps/ctrlProps20.xml" ContentType="application/vnd.ms-excel.controlproperties+xml"/>
  <Override PartName="/xl/ctrlProps/ctrlProps46.xml" ContentType="application/vnd.ms-excel.controlproperties+xml"/>
  <Override PartName="/xl/ctrlProps/ctrlProps2.xml" ContentType="application/vnd.ms-excel.controlproperties+xml"/>
  <Override PartName="/xl/ctrlProps/ctrlProps77.xml" ContentType="application/vnd.ms-excel.controlproperties+xml"/>
  <Override PartName="/xl/ctrlProps/ctrlProps102.xml" ContentType="application/vnd.ms-excel.controlproperties+xml"/>
  <Override PartName="/xl/ctrlProps/ctrlProps21.xml" ContentType="application/vnd.ms-excel.controlproperties+xml"/>
  <Override PartName="/xl/ctrlProps/ctrlProps47.xml" ContentType="application/vnd.ms-excel.controlproperties+xml"/>
  <Override PartName="/xl/ctrlProps/ctrlProps3.xml" ContentType="application/vnd.ms-excel.controlproperties+xml"/>
  <Override PartName="/xl/ctrlProps/ctrlProps106.xml" ContentType="application/vnd.ms-excel.controlproperties+xml"/>
  <Override PartName="/xl/ctrlProps/ctrlProps25.xml" ContentType="application/vnd.ms-excel.controlproperties+xml"/>
  <Override PartName="/xl/ctrlProps/ctrlProps78.xml" ContentType="application/vnd.ms-excel.controlproperties+xml"/>
  <Override PartName="/xl/ctrlProps/ctrlProps40.xml" ContentType="application/vnd.ms-excel.controlproperties+xml"/>
  <Override PartName="/xl/ctrlProps/ctrlProps4.xml" ContentType="application/vnd.ms-excel.controlproperties+xml"/>
  <Override PartName="/xl/ctrlProps/ctrlProps101.xml" ContentType="application/vnd.ms-excel.controlproperties+xml"/>
  <Override PartName="/xl/ctrlProps/ctrlProps22.xml" ContentType="application/vnd.ms-excel.controlproperties+xml"/>
  <Override PartName="/xl/ctrlProps/ctrlProps107.xml" ContentType="application/vnd.ms-excel.controlproperties+xml"/>
  <Override PartName="/xl/ctrlProps/ctrlProps24.xml" ContentType="application/vnd.ms-excel.controlproperties+xml"/>
  <Override PartName="/xl/ctrlProps/ctrlProps79.xml" ContentType="application/vnd.ms-excel.controlproperties+xml"/>
  <Override PartName="/xl/ctrlProps/ctrlProps41.xml" ContentType="application/vnd.ms-excel.controlproperties+xml"/>
  <Override PartName="/xl/ctrlProps/ctrlProps5.xml" ContentType="application/vnd.ms-excel.controlproperties+xml"/>
  <Override PartName="/xl/ctrlProps/ctrlProps100.xml" ContentType="application/vnd.ms-excel.controlproperties+xml"/>
  <Override PartName="/xl/ctrlProps/ctrlProps23.xml" ContentType="application/vnd.ms-excel.controlproperties+xml"/>
  <Override PartName="/xl/ctrlProps/ctrlProps42.xml" ContentType="application/vnd.ms-excel.controlproperties+xml"/>
  <Override PartName="/xl/ctrlProps/ctrlProps6.xml" ContentType="application/vnd.ms-excel.controlproperties+xml"/>
  <Override PartName="/xl/ctrlProps/ctrlProps43.xml" ContentType="application/vnd.ms-excel.controlproperties+xml"/>
  <Override PartName="/xl/ctrlProps/ctrlProps7.xml" ContentType="application/vnd.ms-excel.controlproperties+xml"/>
  <Override PartName="/xl/ctrlProps/ctrlProps11.xml" ContentType="application/vnd.ms-excel.controlproperties+xml"/>
  <Override PartName="/xl/ctrlProps/ctrlProps8.xml" ContentType="application/vnd.ms-excel.controlproperties+xml"/>
  <Override PartName="/xl/ctrlProps/ctrlProps105.xml" ContentType="application/vnd.ms-excel.controlproperties+xml"/>
  <Override PartName="/xl/ctrlProps/ctrlProps26.xml" ContentType="application/vnd.ms-excel.controlproperties+xml"/>
  <Override PartName="/xl/ctrlProps/ctrlProps10.xml" ContentType="application/vnd.ms-excel.controlproperties+xml"/>
  <Override PartName="/xl/ctrlProps/ctrlProps9.xml" ContentType="application/vnd.ms-excel.controlproperties+xml"/>
  <Override PartName="/xl/ctrlProps/ctrlProps12.xml" ContentType="application/vnd.ms-excel.controlproperties+xml"/>
  <Override PartName="/xl/ctrlProps/ctrlProps13.xml" ContentType="application/vnd.ms-excel.controlproperties+xml"/>
  <Override PartName="/xl/ctrlProps/ctrlProps49.xml" ContentType="application/vnd.ms-excel.controlproperties+xml"/>
  <Override PartName="/xl/ctrlProps/ctrlProps14.xml" ContentType="application/vnd.ms-excel.controlproperties+xml"/>
  <Override PartName="/xl/ctrlProps/ctrlProps48.xml" ContentType="application/vnd.ms-excel.controlproperties+xml"/>
  <Override PartName="/xl/ctrlProps/ctrlProps15.xml" ContentType="application/vnd.ms-excel.controlproperties+xml"/>
  <Override PartName="/xl/ctrlProps/ctrlProps16.xml" ContentType="application/vnd.ms-excel.controlproperties+xml"/>
  <Override PartName="/xl/ctrlProps/ctrlProps17.xml" ContentType="application/vnd.ms-excel.controlproperties+xml"/>
  <Override PartName="/xl/ctrlProps/ctrlProps45.xml" ContentType="application/vnd.ms-excel.controlproperties+xml"/>
  <Override PartName="/xl/ctrlProps/ctrlProps18.xml" ContentType="application/vnd.ms-excel.controlproperties+xml"/>
  <Override PartName="/xl/ctrlProps/ctrlProps44.xml" ContentType="application/vnd.ms-excel.controlproperties+xml"/>
  <Override PartName="/xl/ctrlProps/ctrlProps19.xml" ContentType="application/vnd.ms-excel.controlproperties+xml"/>
  <Override PartName="/xl/ctrlProps/ctrlProps104.xml" ContentType="application/vnd.ms-excel.controlproperties+xml"/>
  <Override PartName="/xl/ctrlProps/ctrlProps27.xml" ContentType="application/vnd.ms-excel.controlproperties+xml"/>
  <Override PartName="/xl/ctrlProps/ctrlProps28.xml" ContentType="application/vnd.ms-excel.controlproperties+xml"/>
  <Override PartName="/xl/ctrlProps/ctrlProps29.xml" ContentType="application/vnd.ms-excel.controlproperties+xml"/>
  <Override PartName="/xl/ctrlProps/ctrlProps30.xml" ContentType="application/vnd.ms-excel.controlproperties+xml"/>
  <Override PartName="/xl/ctrlProps/ctrlProps31.xml" ContentType="application/vnd.ms-excel.controlproperties+xml"/>
  <Override PartName="/xl/ctrlProps/ctrlProps32.xml" ContentType="application/vnd.ms-excel.controlproperties+xml"/>
  <Override PartName="/xl/ctrlProps/ctrlProps33.xml" ContentType="application/vnd.ms-excel.controlproperties+xml"/>
  <Override PartName="/xl/ctrlProps/ctrlProps34.xml" ContentType="application/vnd.ms-excel.controlproperties+xml"/>
  <Override PartName="/xl/ctrlProps/ctrlProps35.xml" ContentType="application/vnd.ms-excel.controlproperties+xml"/>
  <Override PartName="/xl/ctrlProps/ctrlProps36.xml" ContentType="application/vnd.ms-excel.controlproperties+xml"/>
  <Override PartName="/xl/ctrlProps/ctrlProps37.xml" ContentType="application/vnd.ms-excel.controlproperties+xml"/>
  <Override PartName="/xl/ctrlProps/ctrlProps38.xml" ContentType="application/vnd.ms-excel.controlproperties+xml"/>
  <Override PartName="/xl/ctrlProps/ctrlProps39.xml" ContentType="application/vnd.ms-excel.controlproperties+xml"/>
  <Override PartName="/xl/ctrlProps/ctrlProps50.xml" ContentType="application/vnd.ms-excel.controlproperties+xml"/>
  <Override PartName="/xl/ctrlProps/ctrlProps51.xml" ContentType="application/vnd.ms-excel.controlproperties+xml"/>
  <Override PartName="/xl/ctrlProps/ctrlProps52.xml" ContentType="application/vnd.ms-excel.controlproperties+xml"/>
  <Override PartName="/xl/ctrlProps/ctrlProps53.xml" ContentType="application/vnd.ms-excel.controlproperties+xml"/>
  <Override PartName="/xl/ctrlProps/ctrlProps54.xml" ContentType="application/vnd.ms-excel.controlproperties+xml"/>
  <Override PartName="/xl/ctrlProps/ctrlProps55.xml" ContentType="application/vnd.ms-excel.controlproperties+xml"/>
  <Override PartName="/xl/ctrlProps/ctrlProps56.xml" ContentType="application/vnd.ms-excel.controlproperties+xml"/>
  <Override PartName="/xl/ctrlProps/ctrlProps57.xml" ContentType="application/vnd.ms-excel.controlproperties+xml"/>
  <Override PartName="/xl/ctrlProps/ctrlProps58.xml" ContentType="application/vnd.ms-excel.controlproperties+xml"/>
  <Override PartName="/xl/ctrlProps/ctrlProps59.xml" ContentType="application/vnd.ms-excel.controlproperties+xml"/>
  <Override PartName="/xl/ctrlProps/ctrlProps60.xml" ContentType="application/vnd.ms-excel.controlproperties+xml"/>
  <Override PartName="/xl/ctrlProps/ctrlProps61.xml" ContentType="application/vnd.ms-excel.controlproperties+xml"/>
  <Override PartName="/xl/ctrlProps/ctrlProps62.xml" ContentType="application/vnd.ms-excel.controlproperties+xml"/>
  <Override PartName="/xl/ctrlProps/ctrlProps63.xml" ContentType="application/vnd.ms-excel.controlproperties+xml"/>
  <Override PartName="/xl/ctrlProps/ctrlProps64.xml" ContentType="application/vnd.ms-excel.controlproperties+xml"/>
  <Override PartName="/xl/ctrlProps/ctrlProps65.xml" ContentType="application/vnd.ms-excel.controlproperties+xml"/>
  <Override PartName="/xl/ctrlProps/ctrlProps66.xml" ContentType="application/vnd.ms-excel.controlproperties+xml"/>
  <Override PartName="/xl/ctrlProps/ctrlProps67.xml" ContentType="application/vnd.ms-excel.controlproperties+xml"/>
  <Override PartName="/xl/ctrlProps/ctrlProps68.xml" ContentType="application/vnd.ms-excel.controlproperties+xml"/>
  <Override PartName="/xl/ctrlProps/ctrlProps69.xml" ContentType="application/vnd.ms-excel.controlproperties+xml"/>
  <Override PartName="/xl/ctrlProps/ctrlProps70.xml" ContentType="application/vnd.ms-excel.controlproperties+xml"/>
  <Override PartName="/xl/ctrlProps/ctrlProps71.xml" ContentType="application/vnd.ms-excel.controlproperties+xml"/>
  <Override PartName="/xl/ctrlProps/ctrlProps72.xml" ContentType="application/vnd.ms-excel.controlproperties+xml"/>
  <Override PartName="/xl/ctrlProps/ctrlProps73.xml" ContentType="application/vnd.ms-excel.controlproperties+xml"/>
  <Override PartName="/xl/ctrlProps/ctrlProps74.xml" ContentType="application/vnd.ms-excel.controlproperties+xml"/>
  <Override PartName="/xl/ctrlProps/ctrlProps75.xml" ContentType="application/vnd.ms-excel.controlproperties+xml"/>
  <Override PartName="/xl/ctrlProps/ctrlProps80.xml" ContentType="application/vnd.ms-excel.controlproperties+xml"/>
  <Override PartName="/xl/ctrlProps/ctrlProps81.xml" ContentType="application/vnd.ms-excel.controlproperties+xml"/>
  <Override PartName="/xl/ctrlProps/ctrlProps82.xml" ContentType="application/vnd.ms-excel.controlproperties+xml"/>
  <Override PartName="/xl/ctrlProps/ctrlProps83.xml" ContentType="application/vnd.ms-excel.controlproperties+xml"/>
  <Override PartName="/xl/ctrlProps/ctrlProps84.xml" ContentType="application/vnd.ms-excel.controlproperties+xml"/>
  <Override PartName="/xl/ctrlProps/ctrlProps85.xml" ContentType="application/vnd.ms-excel.controlproperties+xml"/>
  <Override PartName="/xl/ctrlProps/ctrlProps86.xml" ContentType="application/vnd.ms-excel.controlproperties+xml"/>
  <Override PartName="/xl/ctrlProps/ctrlProps87.xml" ContentType="application/vnd.ms-excel.controlproperties+xml"/>
  <Override PartName="/xl/ctrlProps/ctrlProps88.xml" ContentType="application/vnd.ms-excel.controlproperties+xml"/>
  <Override PartName="/xl/ctrlProps/ctrlProps89.xml" ContentType="application/vnd.ms-excel.controlproperties+xml"/>
  <Override PartName="/xl/ctrlProps/ctrlProps90.xml" ContentType="application/vnd.ms-excel.controlproperties+xml"/>
  <Override PartName="/xl/ctrlProps/ctrlProps91.xml" ContentType="application/vnd.ms-excel.controlproperties+xml"/>
  <Override PartName="/xl/ctrlProps/ctrlProps92.xml" ContentType="application/vnd.ms-excel.controlproperties+xml"/>
  <Override PartName="/xl/ctrlProps/ctrlProps93.xml" ContentType="application/vnd.ms-excel.controlproperties+xml"/>
  <Override PartName="/xl/ctrlProps/ctrlProps94.xml" ContentType="application/vnd.ms-excel.controlproperties+xml"/>
  <Override PartName="/xl/ctrlProps/ctrlProps95.xml" ContentType="application/vnd.ms-excel.controlproperties+xml"/>
  <Override PartName="/xl/ctrlProps/ctrlProps96.xml" ContentType="application/vnd.ms-excel.controlproperties+xml"/>
  <Override PartName="/xl/ctrlProps/ctrlProps97.xml" ContentType="application/vnd.ms-excel.controlproperties+xml"/>
  <Override PartName="/xl/ctrlProps/ctrlProps98.xml" ContentType="application/vnd.ms-excel.controlproperties+xml"/>
  <Override PartName="/xl/ctrlProps/ctrlProps99.xml" ContentType="application/vnd.ms-excel.controlproperties+xml"/>
  <Override PartName="/xl/ctrlProps/ctrlProps108.xml" ContentType="application/vnd.ms-excel.controlproperties+xml"/>
  <Override PartName="/xl/ctrlProps/ctrlProps109.xml" ContentType="application/vnd.ms-excel.controlproperties+xml"/>
  <Override PartName="/xl/ctrlProps/ctrlProps110.xml" ContentType="application/vnd.ms-excel.controlproperties+xml"/>
  <Override PartName="/xl/ctrlProps/ctrlProps111.xml" ContentType="application/vnd.ms-excel.controlproperties+xml"/>
  <Override PartName="/xl/ctrlProps/ctrlProps112.xml" ContentType="application/vnd.ms-excel.controlproperties+xml"/>
  <Override PartName="/xl/ctrlProps/ctrlProps113.xml" ContentType="application/vnd.ms-excel.controlproperties+xml"/>
  <Override PartName="/xl/ctrlProps/ctrlProps11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" sheetId="2" state="visible" r:id="rId4"/>
    <sheet name="เกณฑ์ผลิตภาพ" sheetId="3" state="hidden" r:id="rId5"/>
  </sheets>
  <definedNames>
    <definedName function="false" hidden="false" localSheetId="0" name="_xlnm.Print_Area" vbProcedure="false">Summary!$A$1:$N$115</definedName>
    <definedName function="false" hidden="false" localSheetId="0" name="_xlnm.Print_Titles" vbProcedure="false">Summary!$1:$7</definedName>
    <definedName function="false" hidden="false" localSheetId="0" name="Excel_BuiltIn__FilterDatabase" vbProcedure="false">Summary!$T$1:$T$115</definedName>
    <definedName function="false" hidden="false" localSheetId="1" name="Excel_BuiltIn__FilterDatabase" vbProcedure="false">Data!$O$1:$O$101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<sst xmlns="http://schemas.openxmlformats.org/spreadsheetml/2006/main" count="479" uniqueCount="263">
  <si>
    <t xml:space="preserve">***อย่าลืมเปิด Macro เพื่อใช้งาน
ปุ่มตรวจสอบเลขบัตร/ชื่อ ซ้ำ</t>
  </si>
  <si>
    <t xml:space="preserve">กรณีเลขบัตรเป็นคนต่างด้าว ซึ่งมีเลข 0 นำหน้า ระบบจะฟ้องว่า ไม่ครบ 13 หลัก  แต่ระบบยังคงนำเข้าฐานข้อมูลได้ตามปกติ</t>
  </si>
  <si>
    <t xml:space="preserve">ตารางแสดงผลศักยภาพของพนักงานที่ผ่านการฝึกอบรม</t>
  </si>
  <si>
    <t xml:space="preserve">ชื่อ-สกุล</t>
  </si>
  <si>
    <t xml:space="preserve">ผลการประเมินศักยภาพผู้ผ่านการอบรม</t>
  </si>
  <si>
    <t xml:space="preserve">รวมคะแนน</t>
  </si>
  <si>
    <t xml:space="preserve">การประเมิน
ศักยภาพ</t>
  </si>
  <si>
    <t xml:space="preserve">การประเมิน
ผลิตภาพ</t>
  </si>
  <si>
    <t xml:space="preserve">A 1 การเพาะปลูกและการเลี้ยงสัตว์ การล่าสัตว์และกิจกรรมบริการที่เกี่ยวข้อง</t>
  </si>
  <si>
    <t xml:space="preserve">A 2 ป่าไม้และการทำไม้</t>
  </si>
  <si>
    <t xml:space="preserve">โปรดกรอกผลการประเมินคะแนนพร้อมบันทึกช่วงรายได้ของพนักงานในช่องสีเขียว (หากไม่ยินยอม กรุณาเลือกไม่ยินยอมบันทึกช่วงรายได้)  แล้เลือกตัวเลือกศักยภาพในช่องว่างในช่องสีฟ้าเท่านั้น</t>
  </si>
  <si>
    <t xml:space="preserve">แดง2 สุขใจ</t>
  </si>
  <si>
    <t xml:space="preserve">A 3 การประมงและการเพาะเลี้ยงสัตว์น้ำ</t>
  </si>
  <si>
    <t xml:space="preserve">ที่</t>
  </si>
  <si>
    <t xml:space="preserve">เลขบัตรประจำตัวประชาชน</t>
  </si>
  <si>
    <t xml:space="preserve">คำนำหน้า</t>
  </si>
  <si>
    <t xml:space="preserve">ชื่อ</t>
  </si>
  <si>
    <t xml:space="preserve">สกุล</t>
  </si>
  <si>
    <t xml:space="preserve">ตำแหน่ง</t>
  </si>
  <si>
    <t xml:space="preserve">ช่วงรายได้</t>
  </si>
  <si>
    <t xml:space="preserve">ตรวจสอบความถูกต้องของเลขบัตรประชาชน</t>
  </si>
  <si>
    <t xml:space="preserve">STATUS</t>
  </si>
  <si>
    <r>
      <rPr>
        <b val="true"/>
        <sz val="12"/>
        <rFont val="Angsana New"/>
        <family val="1"/>
      </rPr>
      <t xml:space="preserve">เช็ค </t>
    </r>
    <r>
      <rPr>
        <b val="true"/>
        <sz val="12"/>
        <rFont val="Wingdings"/>
        <family val="0"/>
        <charset val="2"/>
      </rPr>
      <t xml:space="preserve">ü</t>
    </r>
    <r>
      <rPr>
        <b val="true"/>
        <sz val="12"/>
        <rFont val="Angsana New"/>
        <family val="1"/>
      </rPr>
      <t xml:space="preserve"> หาก ผ่าน</t>
    </r>
  </si>
  <si>
    <t xml:space="preserve">B 5 การทำเหมืองถ่านหินและลิกไนต์</t>
  </si>
  <si>
    <t xml:space="preserve">1. ความรู้จากการฝึกอบรม</t>
  </si>
  <si>
    <t xml:space="preserve">2. ทักษะในการปฏิบัติงาน</t>
  </si>
  <si>
    <t xml:space="preserve">3. ทัศนคติที่มีต่อการปฏิบัติงาน</t>
  </si>
  <si>
    <t xml:space="preserve">4. การแก้ปัญหาในการทำงาน</t>
  </si>
  <si>
    <t xml:space="preserve">5. ความตระหนักในด้านความปลอดภัย</t>
  </si>
  <si>
    <t xml:space="preserve">B 6 การผลิตน้ำมันดิบและก๊าซธรรมชาติ</t>
  </si>
  <si>
    <t xml:space="preserve">นาย </t>
  </si>
  <si>
    <t xml:space="preserve">เสริฐสินธ์</t>
  </si>
  <si>
    <t xml:space="preserve">ธัญญรังสิกุล</t>
  </si>
  <si>
    <t xml:space="preserve">หัวหน้างานขายสินค้าทางโทรศัพท์</t>
  </si>
  <si>
    <t xml:space="preserve">less than 10,000 (น้อยกว่า 10,000)</t>
  </si>
  <si>
    <t xml:space="preserve">B 7 การทำเหมืองสินแร่โลหะ</t>
  </si>
  <si>
    <t xml:space="preserve">โกสินทร์</t>
  </si>
  <si>
    <t xml:space="preserve">วุฒิเจริญวงศ์</t>
  </si>
  <si>
    <t xml:space="preserve">กรรมการผู้จัดการ</t>
  </si>
  <si>
    <t xml:space="preserve">B 8 การทำเหมืองแร่และเหมืองหินอื่น ๆ</t>
  </si>
  <si>
    <t xml:space="preserve">นางสาว</t>
  </si>
  <si>
    <t xml:space="preserve">กันยารัตน์</t>
  </si>
  <si>
    <t xml:space="preserve">ดีประเสริฐ</t>
  </si>
  <si>
    <t xml:space="preserve">ผู้เชี่ยวชาญงานสนับสนุนธุรกิจและประสบการณ์ลูกค้า</t>
  </si>
  <si>
    <t xml:space="preserve">B 9 กิจกรรมบริการที่สนับสนุนการทำเหมืองแร่ และสนับสนุนการผลิตปิโตรเลียม</t>
  </si>
  <si>
    <t xml:space="preserve">จักรกฤษณ์</t>
  </si>
  <si>
    <t xml:space="preserve">กำบังกาย</t>
  </si>
  <si>
    <t xml:space="preserve">หัวหน้าทีมวิเคราะห์ข้อมูลและเทคโนโลยีดิจิทัล</t>
  </si>
  <si>
    <t xml:space="preserve">10,001-20,000</t>
  </si>
  <si>
    <t xml:space="preserve">C 10 การผลิตผลิตภัณฑ์อาหาร</t>
  </si>
  <si>
    <t xml:space="preserve">ชัยเมศร์</t>
  </si>
  <si>
    <t xml:space="preserve">วรสมบูรณ์ไชย</t>
  </si>
  <si>
    <t xml:space="preserve">30,001-40,000</t>
  </si>
  <si>
    <t xml:space="preserve">C 11 การผลิตเครื่องดื่ม</t>
  </si>
  <si>
    <t xml:space="preserve">ฐายิกา</t>
  </si>
  <si>
    <t xml:space="preserve">ทัศนีย์</t>
  </si>
  <si>
    <t xml:space="preserve">พนักงานบริการหลังการขาย</t>
  </si>
  <si>
    <t xml:space="preserve">C 12 การผลิตสิ่งทอ</t>
  </si>
  <si>
    <t xml:space="preserve">ณัฐณิชา</t>
  </si>
  <si>
    <t xml:space="preserve">สมพานต์</t>
  </si>
  <si>
    <t xml:space="preserve">หัวหน้าทีมการตลาดเนื้อหาและสร้างสรรค์</t>
  </si>
  <si>
    <t xml:space="preserve">C 13 การผลิตเสื้อผ้าเครื่องแต่งกาย</t>
  </si>
  <si>
    <t xml:space="preserve">ณัฐพัฒน์</t>
  </si>
  <si>
    <t xml:space="preserve">สุขใส</t>
  </si>
  <si>
    <t xml:space="preserve">นักวิเคราะห์ข้อมูลธุรกิจ</t>
  </si>
  <si>
    <t xml:space="preserve">C 14 การผลิตเครื่องหนัง และผลิตภัณฑ์ที่เกี่ยวข้อง</t>
  </si>
  <si>
    <t xml:space="preserve">ดีลยา</t>
  </si>
  <si>
    <t xml:space="preserve">รุจิรอานนท์</t>
  </si>
  <si>
    <t xml:space="preserve">พนักงานขายดูแลลูกค้ารายใหญ่</t>
  </si>
  <si>
    <t xml:space="preserve">สรุปภาพรวมการฝึกอบรม</t>
  </si>
  <si>
    <t xml:space="preserve">C 15 การผลิตไม้และผลิตภัณฑ์จากไม้ และไม้ก๊อก ยกเว้น เฟอร์นิเจอร์ การผลิตสิ่งของจากฟางและวัสดุถักสานอื่น ๆ</t>
  </si>
  <si>
    <t xml:space="preserve">ตรีจุฑา</t>
  </si>
  <si>
    <t xml:space="preserve">สรวงท่าไม้</t>
  </si>
  <si>
    <t xml:space="preserve">กรรมการบริหาร</t>
  </si>
  <si>
    <t xml:space="preserve">มีพนักงานที่เข้าร่วมอบรมทั้งหมด</t>
  </si>
  <si>
    <t xml:space="preserve">จำนวน</t>
  </si>
  <si>
    <t xml:space="preserve">คน</t>
  </si>
  <si>
    <t xml:space="preserve">C 16 การผลิตกระดาษและ ผลิตภัณฑ์ที่แปรรูปจากกระดาษ</t>
  </si>
  <si>
    <t xml:space="preserve">ทิพย์สุดา</t>
  </si>
  <si>
    <t xml:space="preserve">ปลื้มใจ</t>
  </si>
  <si>
    <t xml:space="preserve">หัวหน้าทีมพัฒนาผลิตภัณฑ์และตรวจสอบคุณภาพ</t>
  </si>
  <si>
    <t xml:space="preserve">จำนวนผู้ผ่านการอบรมที่มีผลการพัฒนาศักยภาพเพิ่มขึ้น</t>
  </si>
  <si>
    <t xml:space="preserve">C 17 การพิมพ์ และการผลิตซ้ำสื่อบันทึก</t>
  </si>
  <si>
    <t xml:space="preserve">ธนภัค</t>
  </si>
  <si>
    <t xml:space="preserve">เต๊ะชัย</t>
  </si>
  <si>
    <t xml:space="preserve">ผู้ช่วยผู้บริหาร</t>
  </si>
  <si>
    <t xml:space="preserve">จำนวนผู้ผ่านการอบรมที่มีผลิตภาพแรงงานเพิ่มขึ้น</t>
  </si>
  <si>
    <t xml:space="preserve">C 18 การผลิตถ่านโค้ก และผลิตภัณฑ์จากการกลั่นปิโตรเลียม</t>
  </si>
  <si>
    <t xml:space="preserve">ธนรัตน์</t>
  </si>
  <si>
    <t xml:space="preserve">รอดพ่าย</t>
  </si>
  <si>
    <t xml:space="preserve">พนักงานพัฒนาทรัพยากรบุคคลอาวุโส</t>
  </si>
  <si>
    <t xml:space="preserve">C 19 การผลิตเคมีภัณฑ์ และผลิตภัณฑ์เคมี</t>
  </si>
  <si>
    <t xml:space="preserve">ธนานิษฐ์</t>
  </si>
  <si>
    <t xml:space="preserve">ธนาสิริฐานันท์</t>
  </si>
  <si>
    <t xml:space="preserve">หัวหน้างานขายสินค้าออนไลน์</t>
  </si>
  <si>
    <t xml:space="preserve">เฉลี่ย</t>
  </si>
  <si>
    <t xml:space="preserve">คะแนน</t>
  </si>
  <si>
    <t xml:space="preserve">C 20 การผลิตเภสัชภัณฑ์พื้นฐานและการผลิตสูตรตำรับทางเภสัชกรรม</t>
  </si>
  <si>
    <t xml:space="preserve">ธัญชนก</t>
  </si>
  <si>
    <t xml:space="preserve">กฤดิกุล</t>
  </si>
  <si>
    <t xml:space="preserve">หัวหน้าทีม KOL Affiliate และ Live Management</t>
  </si>
  <si>
    <t xml:space="preserve">C 21 การผลิตผลิตภัณฑ์ยางและพลาสติก</t>
  </si>
  <si>
    <t xml:space="preserve">นฤพล</t>
  </si>
  <si>
    <t xml:space="preserve">พันธุ์จบสิงห์</t>
  </si>
  <si>
    <t xml:space="preserve">หัวหน้างานบัญชีและการเงิน</t>
  </si>
  <si>
    <t xml:space="preserve">C 22 การผลิตผลิตภัณฑ์อื่น ๆ ที่ทำจากแร่อโลหะ</t>
  </si>
  <si>
    <t xml:space="preserve">นันทวัน</t>
  </si>
  <si>
    <t xml:space="preserve">ศิรเกียรติพล</t>
  </si>
  <si>
    <t xml:space="preserve">เจ้าหน้าที่จัดซื้ออาวุโส</t>
  </si>
  <si>
    <t xml:space="preserve">C 23 การผลิตโลหะขั้นมูลฐาน</t>
  </si>
  <si>
    <t xml:space="preserve">นับเดือน</t>
  </si>
  <si>
    <t xml:space="preserve">แพ่งกลิ่น</t>
  </si>
  <si>
    <t xml:space="preserve">พนักงานบริการหลังการขายอาวุโส</t>
  </si>
  <si>
    <t xml:space="preserve">C 24 การผลิตผลิตภัณฑ์ที่ทำจากโลหะประดิษฐ์ ยกเว้น เครื่องจักรและอุปกรณ์</t>
  </si>
  <si>
    <t xml:space="preserve">นาง</t>
  </si>
  <si>
    <t xml:space="preserve">นาฏยา</t>
  </si>
  <si>
    <t xml:space="preserve">หัวหน้าสายงานปฏิบัติการ</t>
  </si>
  <si>
    <t xml:space="preserve">คะแนนทุกเกณฑ์การประเมิน</t>
  </si>
  <si>
    <t xml:space="preserve">C 25 การผลิตผลิตภัณฑ์คอมพิวเตอร์ อิเล็กทรอนิกส์ และอุปกรณ์ทางทัศนศาสตร์</t>
  </si>
  <si>
    <t xml:space="preserve">พลพัฒน์</t>
  </si>
  <si>
    <t xml:space="preserve">ทิมหาญ</t>
  </si>
  <si>
    <t xml:space="preserve">ผู้จัดการฝ่ายขาย</t>
  </si>
  <si>
    <t xml:space="preserve">C 26 การผลิตอุปกรณ์ไฟฟ้า</t>
  </si>
  <si>
    <t xml:space="preserve">ภัควดี</t>
  </si>
  <si>
    <t xml:space="preserve">มณี</t>
  </si>
  <si>
    <t xml:space="preserve">C 27 การผลิตเครื่องจักรและเครื่องมือ ซึ่งมิได้จัดประเภทไว้ในที่อื่น</t>
  </si>
  <si>
    <t xml:space="preserve">ภัทรมน</t>
  </si>
  <si>
    <t xml:space="preserve">ธงไชย</t>
  </si>
  <si>
    <t xml:space="preserve">พนักงานพัฒนาองค์กรอาวุโส</t>
  </si>
  <si>
    <t xml:space="preserve">C 28 การผลิตยานยนต์ รถพ่วงและรถกึ่งพ่วง</t>
  </si>
  <si>
    <t xml:space="preserve">มาลา</t>
  </si>
  <si>
    <t xml:space="preserve">นาคสุวรรณ</t>
  </si>
  <si>
    <t xml:space="preserve">ผู้เชี่ยวชาญงานทรัพยากรบุคคล</t>
  </si>
  <si>
    <t xml:space="preserve">20,001-30,000</t>
  </si>
  <si>
    <t xml:space="preserve">C 29 การผลิตอุปกรณ์ขนส่งอื่น ๆ</t>
  </si>
  <si>
    <t xml:space="preserve">รุ่งระวี</t>
  </si>
  <si>
    <t xml:space="preserve">ทองมลีวรรณ์</t>
  </si>
  <si>
    <t xml:space="preserve">หัวหน้างานคลังสินค้า</t>
  </si>
  <si>
    <t xml:space="preserve">C 30 การผลิตเฟอร์นิเจอร์</t>
  </si>
  <si>
    <t xml:space="preserve">พรทิวา</t>
  </si>
  <si>
    <t xml:space="preserve">สร้อยมาลัย</t>
  </si>
  <si>
    <t xml:space="preserve">พนักงานการตลาดโครงการอาวุโส</t>
  </si>
  <si>
    <t xml:space="preserve">40,001-50,000</t>
  </si>
  <si>
    <t xml:space="preserve">C 31 การผลิตผลิตภัณฑ์ประเภทอื่น ๆ</t>
  </si>
  <si>
    <t xml:space="preserve">ศศิมา</t>
  </si>
  <si>
    <t xml:space="preserve">เทแก้ว</t>
  </si>
  <si>
    <t xml:space="preserve">หัวหน้าทีมการตลาดดิจิทัล</t>
  </si>
  <si>
    <t xml:space="preserve">more than 50,001 (มากกว่า 50,001)</t>
  </si>
  <si>
    <t xml:space="preserve">C 32 การซ่อม และการติดตั้งเครื่องจักรและอุปกรณ์</t>
  </si>
  <si>
    <t xml:space="preserve">อรธิรา</t>
  </si>
  <si>
    <t xml:space="preserve">เฉลิมถ้อย</t>
  </si>
  <si>
    <t xml:space="preserve">พนักงานบริหารทรัพยากรบุคคลอาวุโส</t>
  </si>
  <si>
    <t xml:space="preserve">N/A (ไม่ระบุ)</t>
  </si>
  <si>
    <t xml:space="preserve">C 33 การผลิตผลิตภัณฑ์จากยาสูบ</t>
  </si>
  <si>
    <t xml:space="preserve">อรวรรณ</t>
  </si>
  <si>
    <t xml:space="preserve">วงศ์ธนากรชัย</t>
  </si>
  <si>
    <t xml:space="preserve">หัวหน้าสายงานการตลาด</t>
  </si>
  <si>
    <t xml:space="preserve">D 35 ไฟฟ้า ก๊าซ ไอน้ำและระบบการปรับอากาศ</t>
  </si>
  <si>
    <t xml:space="preserve">อารยา</t>
  </si>
  <si>
    <t xml:space="preserve">พึ่งมี</t>
  </si>
  <si>
    <t xml:space="preserve">พนักงานตรวจสอบคุณภาพการขาย</t>
  </si>
  <si>
    <t xml:space="preserve">E 36 การเก็บกักน้ำ การจัดหาน้ำ และการจ่ายน้ำ</t>
  </si>
  <si>
    <t xml:space="preserve">E 37 การจัดการน้ำเสีย</t>
  </si>
  <si>
    <t xml:space="preserve">E 38 การเก็บรวบรวมของเสีย  การบำบัดและการกำจัดของเสีย การนำของเสียกลับมาใช้ใหม่</t>
  </si>
  <si>
    <t xml:space="preserve">E 39 กิจกรรมการบำบัด และการจัดบริการเก็บของเสียอื่น ๆ</t>
  </si>
  <si>
    <t xml:space="preserve">F 41 การก่อสร้างอาคาร</t>
  </si>
  <si>
    <t xml:space="preserve">F 42 งานวิศวกรรมโยธา</t>
  </si>
  <si>
    <t xml:space="preserve">F 43 งานก่อสร้างเฉพาะทาง</t>
  </si>
  <si>
    <t xml:space="preserve">G 45 การขายส่ง การขายปลีก การซ่อมยานยนต์และจักรยานยนต์</t>
  </si>
  <si>
    <t xml:space="preserve">G 46 การขายส่ง ยกเว้น ยานยนต์และจักรยานยนต์</t>
  </si>
  <si>
    <t xml:space="preserve">G 47 การขายปลีก ยกเว้น ยานยนต์และจักรยานยนต์</t>
  </si>
  <si>
    <t xml:space="preserve">H 49 การขนส่งทางบกและการขนส่งทางท่อลำเลียง</t>
  </si>
  <si>
    <t xml:space="preserve">H 50 การขนส่งทางน้ำ</t>
  </si>
  <si>
    <t xml:space="preserve">H 51 การขนส่งทางอากาศ</t>
  </si>
  <si>
    <t xml:space="preserve">H 52 กิจกรรมที่เกี่ยวกับคลังสินค้าและกิจกรรมสนับสนุนการขนส่ง</t>
  </si>
  <si>
    <t xml:space="preserve">H 53 กิจกรรมไปรษณีย์และการรับส่งเอกสาร/สิ่งของ</t>
  </si>
  <si>
    <t xml:space="preserve">I 55 ที่พักแรม</t>
  </si>
  <si>
    <t xml:space="preserve">I 56 การบริการด้านอาหารและเครื่องดื่ม</t>
  </si>
  <si>
    <t xml:space="preserve">J 58 การจัดพิมพ์จำหน่ายหรือเผยแพร่</t>
  </si>
  <si>
    <t xml:space="preserve">J 59 กิจกรรมการผลิตภาพยนตร์ วีดิทัศน์และรายการโทรทัศน์ การบันทึกเสียงและการจัดพิมพ์จำหน่ายหรือเผยแพร่ดนตรี</t>
  </si>
  <si>
    <t xml:space="preserve">J 60 กิจกรรมการจัดผังรายการโทรทัศน์ และกิจกรรมการแพร่ภาพกระจายเสียง</t>
  </si>
  <si>
    <t xml:space="preserve">J 61 การโทรคมนาคม</t>
  </si>
  <si>
    <t xml:space="preserve">J 62 กิจกรรมการจัดทำโปรแกรมคอมพิวเตอร์ การให้คำปรึกษาเกี่ยวกับคอมพิวเตอร์ และกิจกรรมที่เกี่ยวข้อง</t>
  </si>
  <si>
    <t xml:space="preserve">J 63 กิจกรรมการบริการสารสนเทศ</t>
  </si>
  <si>
    <t xml:space="preserve">K 64 กิจกรรมบริการทางการเงิน ยกเว้น การประกันภัยและกองทุนบำเหน็จบำนาญ</t>
  </si>
  <si>
    <t xml:space="preserve">K 65 การประกันภัย การประกันภัยต่อและกองทุนบำเหน็จบำนาญ ยกเว้น การประกันสังคมภาคบังคับ</t>
  </si>
  <si>
    <t xml:space="preserve">K 66 กิจกรรมสนับสนุนบริการทางการเงินและกิจกรรมการประกันภัย</t>
  </si>
  <si>
    <t xml:space="preserve">L 68 กิจกรรมเกี่ยวกับอสังหาริมทรัพย์</t>
  </si>
  <si>
    <t xml:space="preserve">M 69 กิจกรรมทางกฎหมายและบัญชี</t>
  </si>
  <si>
    <t xml:space="preserve">M 70 กิจกรรมของสำนักงานใหญ่ กิจกรรมการให้คำปรึกษาด้านการบริหารจัดการ</t>
  </si>
  <si>
    <t xml:space="preserve">M 71 กิจกรรมงานสถาปัตยกรรมและวิศวกรรม การทดสอบและวิเคราะห์ทางเทคนิค</t>
  </si>
  <si>
    <t xml:space="preserve">M 72 การวิจัยและพัฒนาเชิงวิทยาศาสตร์</t>
  </si>
  <si>
    <t xml:space="preserve">M 73 การโฆษณาและการวิจัยตลาด</t>
  </si>
  <si>
    <t xml:space="preserve">M 74 กิจกรรมทางวิชาชีพ วิทยาศาสตร์ และเทคนิคอื่นๆ</t>
  </si>
  <si>
    <t xml:space="preserve">M 75 กิจกรรมเกี่ยวกับสัตวแพทย์</t>
  </si>
  <si>
    <t xml:space="preserve">N 77 กิจกรรมการให้เช่าและให้เช่าแบบลีสซิ่ง</t>
  </si>
  <si>
    <t xml:space="preserve">N 78 กิจกรรมการจัดหางาน</t>
  </si>
  <si>
    <t xml:space="preserve">N 79 ตัวแทนธุรกิจการเดินทาง  ธุรกิจจัดนำเที่ยว และบริการสำรอง  และกิจกรรมที่เกี่ยวข้อง</t>
  </si>
  <si>
    <t xml:space="preserve">N 80 กิจกรรมการบริการรักษาความปลอดภัยและการสืบสวน</t>
  </si>
  <si>
    <t xml:space="preserve">N 81 กิจกรรมบริการสำหรับอาคารและภูมิทัศน์</t>
  </si>
  <si>
    <t xml:space="preserve">N 82 การบริหารสำนักงาน บริการสนับสนุนสำนักงานและบริการสนับสนุนทางธุรกิจอื่น ๆ</t>
  </si>
  <si>
    <t xml:space="preserve">O 84 การบริหารราชการและการป้องกันประเทศ รวมถึงการประกันสังคมภาคบังคับ</t>
  </si>
  <si>
    <t xml:space="preserve">P 85 การศึกษา</t>
  </si>
  <si>
    <t xml:space="preserve">Q 86 กิจกรรมด้านสุขภาพของมนุษย์</t>
  </si>
  <si>
    <t xml:space="preserve">Q 87 กิจกรรมการดูแลรักษาในสถานที่ที่มีที่พักและมีคนดูแลประจำ</t>
  </si>
  <si>
    <t xml:space="preserve">Q 88 กิจกรรมสังคมสงเคราะห์โดยไม่มีที่พักอาศัย</t>
  </si>
  <si>
    <t xml:space="preserve">R 90 กิจกรรมการสร้างสรรค์ศิลปะและความบันเทิง</t>
  </si>
  <si>
    <t xml:space="preserve">R 91 ห้องสมุด หอจดหมายเหตุ พิพิธภัณฑ์และกิจกรรมทางด้านวัฒนธรรมอื่น ๆ</t>
  </si>
  <si>
    <t xml:space="preserve">R 92 กิจกรรมการพนันและการเสี่ยงโชค</t>
  </si>
  <si>
    <t xml:space="preserve">R 93 กิจกรรมด้านการกีฬา ความบันเทิงและนันทนาการ</t>
  </si>
  <si>
    <t xml:space="preserve">S 94 กิจกรรมขององค์กรสมาชิก</t>
  </si>
  <si>
    <t xml:space="preserve">S 95 การซ่อมคอมพิวเตอร์และของใช้ส่วนบุคคลและของใช้ในครัวเรือน</t>
  </si>
  <si>
    <t xml:space="preserve">S 96 กิจกรรมการบริการอื่น ๆ ส่วนบุคคล</t>
  </si>
  <si>
    <t xml:space="preserve">T 97 กิจกรรมการจ้างงานในครัวเรือนในฐานะที่เป็นนายจ้างส่วนบุคคล</t>
  </si>
  <si>
    <t xml:space="preserve">T 98 กิจกรรมการผลิตสินค้าและบริการที่ทำขึ้นเองเพื่อใช้ในครัวเรือน ซึ่งไม่สามารถจำแนกกิจกรรมได้อย่างชัดเจน</t>
  </si>
  <si>
    <t xml:space="preserve">U 99 กิจกรรมขององค์การระหว่างประเทศและภาคีสมาชิก</t>
  </si>
  <si>
    <t xml:space="preserve">PERSON_ID</t>
  </si>
  <si>
    <t xml:space="preserve">TITLE</t>
  </si>
  <si>
    <t xml:space="preserve">FIRSTNAME</t>
  </si>
  <si>
    <t xml:space="preserve">LASTNAME</t>
  </si>
  <si>
    <t xml:space="preserve">GENDER</t>
  </si>
  <si>
    <t xml:space="preserve">POSITION</t>
  </si>
  <si>
    <t xml:space="preserve">REMARK</t>
  </si>
  <si>
    <t xml:space="preserve">ตรวจสอบ Personal_ID</t>
  </si>
  <si>
    <t xml:space="preserve">ชีทนี้ สำหรับเจ้าหน้าที่
กรมพัฒนาฝีมือแรงงาน</t>
  </si>
  <si>
    <t xml:space="preserve">ชาย</t>
  </si>
  <si>
    <t xml:space="preserve">หญิง</t>
  </si>
  <si>
    <t xml:space="preserve">รวมชาย</t>
  </si>
  <si>
    <t xml:space="preserve">รวมหญิง</t>
  </si>
  <si>
    <t xml:space="preserve">รวมทั้งสิ้น</t>
  </si>
  <si>
    <t xml:space="preserve">หมวดใหญ่</t>
  </si>
  <si>
    <t xml:space="preserve">หมวดย่อย</t>
  </si>
  <si>
    <t xml:space="preserve">กลุ่มอุตสหกรรม</t>
  </si>
  <si>
    <t xml:space="preserve">กลุ่ม 1</t>
  </si>
  <si>
    <t xml:space="preserve">กลุ่ม 2</t>
  </si>
  <si>
    <t xml:space="preserve">กลุ่ม 3</t>
  </si>
  <si>
    <t xml:space="preserve">กลุ่ม 4</t>
  </si>
  <si>
    <t xml:space="preserve">A</t>
  </si>
  <si>
    <t xml:space="preserve">ความรู้</t>
  </si>
  <si>
    <t xml:space="preserve">การปฏิบัติงาน</t>
  </si>
  <si>
    <t xml:space="preserve">ทัศนคติ</t>
  </si>
  <si>
    <t xml:space="preserve">B</t>
  </si>
  <si>
    <t xml:space="preserve">การจัดการ</t>
  </si>
  <si>
    <t xml:space="preserve">ความปลอดภัย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</si>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</sst>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@"/>
    <numFmt numFmtId="167" formatCode="0.00"/>
    <numFmt numFmtId="168" formatCode="0%"/>
    <numFmt numFmtId="169" formatCode="#,##0.00"/>
    <numFmt numFmtId="170" formatCode="0000000000000"/>
  </numFmts>
  <fonts count="26">
    <font>
      <sz val="11"/>
      <color rgb="FF000000"/>
      <name val="Calibri"/>
      <family val="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8"/>
      <name val="Angsana New"/>
      <family val="1"/>
    </font>
    <font>
      <b val="true"/>
      <sz val="26"/>
      <color rgb="FFFF0000"/>
      <name val="Angsana New"/>
      <family val="1"/>
    </font>
    <font>
      <u val="single"/>
      <sz val="24"/>
      <color rgb="FF008000"/>
      <name val="Angsana New"/>
      <family val="1"/>
    </font>
    <font>
      <sz val="36"/>
      <color rgb="FFFF0000"/>
      <name val="Angsana New"/>
      <family val="1"/>
    </font>
    <font>
      <b val="true"/>
      <sz val="18"/>
      <name val="Angsana New"/>
      <family val="1"/>
    </font>
    <font>
      <b val="true"/>
      <sz val="12"/>
      <name val="Angsana New"/>
      <family val="1"/>
    </font>
    <font>
      <sz val="9"/>
      <color rgb="FFFFFFFF"/>
      <name val="Angsana New"/>
      <family val="1"/>
    </font>
    <font>
      <sz val="14"/>
      <color rgb="FFFF0000"/>
      <name val="Angsana New"/>
      <family val="1"/>
    </font>
    <font>
      <b val="true"/>
      <sz val="16"/>
      <name val="Angsana New"/>
      <family val="1"/>
    </font>
    <font>
      <b val="true"/>
      <sz val="12"/>
      <color rgb="FF000000"/>
      <name val="Angsana New"/>
      <family val="1"/>
    </font>
    <font>
      <b val="true"/>
      <sz val="12"/>
      <name val="Wingdings"/>
      <family val="0"/>
      <charset val="2"/>
    </font>
    <font>
      <b val="true"/>
      <sz val="10"/>
      <name val="Angsana New"/>
      <family val="1"/>
    </font>
    <font>
      <sz val="14"/>
      <color rgb="FF000000"/>
      <name val="Angsana New"/>
      <family val="1"/>
    </font>
    <font>
      <sz val="14"/>
      <name val="Angsana New"/>
      <family val="1"/>
    </font>
    <font>
      <sz val="18"/>
      <color rgb="FF000000"/>
      <name val="Angsana New"/>
      <family val="1"/>
    </font>
    <font>
      <b val="true"/>
      <sz val="14"/>
      <color rgb="FF000000"/>
      <name val="Angsana New"/>
      <family val="1"/>
    </font>
    <font>
      <sz val="16"/>
      <color rgb="FF000000"/>
      <name val="Angsana New"/>
      <family val="1"/>
    </font>
    <font>
      <sz val="9"/>
      <color rgb="FF333333"/>
      <name val="Tahoma"/>
      <family val="2"/>
    </font>
    <font>
      <b val="true"/>
      <sz val="16"/>
      <color rgb="FF333333"/>
      <name val="Angsana New"/>
      <family val="2"/>
    </font>
    <font>
      <sz val="10"/>
      <name val="Tahoma"/>
      <family val="2"/>
    </font>
    <font>
      <b val="true"/>
      <sz val="26"/>
      <color rgb="FFFF0000"/>
      <name val="Calibri"/>
      <family val="2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9CCFF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339966"/>
        <bgColor rgb="FF008080"/>
      </patternFill>
    </fill>
    <fill>
      <patternFill patternType="solid">
        <fgColor rgb="FFC0C0C0"/>
        <bgColor rgb="FFCCCCFF"/>
      </patternFill>
    </fill>
    <fill>
      <patternFill patternType="solid">
        <fgColor rgb="FF33CCCC"/>
        <bgColor rgb="FF00CCFF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3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7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5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267592439521684"/>
          <c:y val="0.116756958714739"/>
          <c:w val="0.475946437427674"/>
          <c:h val="0.785540818232767"/>
        </c:manualLayout>
      </c:layout>
      <c:radarChart>
        <c:radarStyle val="marker"/>
        <c:varyColors val="0"/>
        <c:ser>
          <c:idx val="0"/>
          <c:order val="0"/>
          <c:tx>
            <c:strRef>
              <c:f>Summary!$U$5</c:f>
              <c:strCache>
                <c:ptCount val="1"/>
                <c:pt idx="0">
                  <c:v>แดง2 สุขใจ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numFmt formatCode="#,##0.00" sourceLinked="1"/>
            <c:txPr>
              <a:bodyPr wrap="none"/>
              <a:lstStyle/>
              <a:p>
                <a:pPr>
                  <a:defRPr sz="900" b="0" u="none" strike="noStrike">
                    <a:solidFill>
                      <a:srgbClr val="333333"/>
                    </a:solidFill>
                    <a:uFillTx/>
                    <a:latin typeface="Tahom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เกณฑ์ผลิตภาพ!$J$2:$J$6</c:f>
              <c:multiLvlStrCache>
                <c:ptCount val="1"/>
                <c:lvl>
                  <c:pt idx="0">
                    <c:v>ความปลอดภัย</c:v>
                  </c:pt>
                </c:lvl>
                <c:lvl>
                  <c:pt idx="0">
                    <c:v>การจัดการ</c:v>
                  </c:pt>
                </c:lvl>
                <c:lvl>
                  <c:pt idx="0">
                    <c:v>ทัศนคติ</c:v>
                  </c:pt>
                </c:lvl>
                <c:lvl>
                  <c:pt idx="0">
                    <c:v>การปฏิบัติงาน</c:v>
                  </c:pt>
                </c:lvl>
                <c:lvl>
                  <c:pt idx="0">
                    <c:v>ความรู้</c:v>
                  </c:pt>
                </c:lvl>
              </c:multiLvlStrCache>
            </c:multiLvlStrRef>
          </c:cat>
          <c:val>
            <c:numRef>
              <c:f>Summary!$W$5:$AA$5</c:f>
              <c:numCache>
                <c:formatCode>General</c:formatCode>
                <c:ptCount val="5"/>
              </c:numCache>
            </c:numRef>
          </c:val>
        </c:ser>
        <c:ser>
          <c:idx val="1"/>
          <c:order val="1"/>
          <c:spPr>
            <a:solidFill>
              <a:srgbClr val="FF6600"/>
            </a:solidFill>
            <a:ln w="25200">
              <a:solidFill>
                <a:srgbClr val="FF6600"/>
              </a:solidFill>
              <a:round/>
            </a:ln>
          </c:spPr>
          <c:marker>
            <c:symbol val="none"/>
          </c:marker>
          <c:cat>
            <c:multiLvlStrRef>
              <c:f>เกณฑ์ผลิตภาพ!$J$2:$J$6</c:f>
              <c:multiLvlStrCache>
                <c:ptCount val="1"/>
                <c:lvl>
                  <c:pt idx="0">
                    <c:v>ความปลอดภัย</c:v>
                  </c:pt>
                </c:lvl>
                <c:lvl>
                  <c:pt idx="0">
                    <c:v>การจัดการ</c:v>
                  </c:pt>
                </c:lvl>
                <c:lvl>
                  <c:pt idx="0">
                    <c:v>ทัศนคติ</c:v>
                  </c:pt>
                </c:lvl>
                <c:lvl>
                  <c:pt idx="0">
                    <c:v>การปฏิบัติงาน</c:v>
                  </c:pt>
                </c:lvl>
                <c:lvl>
                  <c:pt idx="0">
                    <c:v>ความรู้</c:v>
                  </c:pt>
                </c:lvl>
              </c:multiLvlStrCache>
            </c:multiLvlStrRef>
          </c:cat>
        </c:ser>
        <c:axId val="86013112"/>
        <c:axId val="97684689"/>
      </c:radarChart>
      <c:catAx>
        <c:axId val="860131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600" b="1" u="none" strike="noStrike">
                <a:solidFill>
                  <a:srgbClr val="333333"/>
                </a:solidFill>
                <a:uFillTx/>
                <a:latin typeface="Angsana New"/>
              </a:defRPr>
            </a:pPr>
          </a:p>
        </c:txPr>
        <c:crossAx val="97684689"/>
        <c:crossesAt val="0"/>
        <c:auto val="1"/>
        <c:lblAlgn val="ctr"/>
        <c:lblOffset val="100"/>
        <c:noMultiLvlLbl val="0"/>
      </c:catAx>
      <c:valAx>
        <c:axId val="97684689"/>
        <c:scaling>
          <c:orientation val="minMax"/>
        </c:scaling>
        <c:delete val="1"/>
        <c:axPos val="l"/>
        <c:majorGridlines>
          <c:spPr>
            <a:ln w="0">
              <a:solidFill>
                <a:srgbClr val="C0C0C0"/>
              </a:solidFill>
            </a:ln>
          </c:spPr>
        </c:majorGridlines>
        <c:numFmt formatCode="General" sourceLinked="1"/>
        <c:majorTickMark val="out"/>
        <c:minorTickMark val="none"/>
        <c:tickLblPos val="none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6013112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C0C0C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trlProps/ctrlProps2.xml><?xml version="1.0" encoding="utf-8"?>
<formControlPr xmlns="http://schemas.microsoft.com/office/spreadsheetml/2009/9/main" objectType="Button" lockText="1"/>
</file>

<file path=xl/ctrlProps/ctrlProps3.xml><?xml version="1.0" encoding="utf-8"?>
<formControlPr xmlns="http://schemas.microsoft.com/office/spreadsheetml/2009/9/main" objectType="Button" lockText="1"/>
</file>

<file path=xl/ctrlProps/ctrlProps4.xml><?xml version="1.0" encoding="utf-8"?>
<formControlPr xmlns="http://schemas.microsoft.com/office/spreadsheetml/2009/9/main" objectType="Button" lockText="1"/>
</file>

<file path=xl/ctrlProps/ctrlProps5.xml><?xml version="1.0" encoding="utf-8"?>
<formControlPr xmlns="http://schemas.microsoft.com/office/spreadsheetml/2009/9/main" objectType="CheckBox" autoLine="false" print="true" lockText="1" noThreeD="1"/>
</file>

<file path=xl/ctrlProps/ctrlProps6.xml><?xml version="1.0" encoding="utf-8"?>
<formControlPr xmlns="http://schemas.microsoft.com/office/spreadsheetml/2009/9/main" objectType="CheckBox" autoLine="false" print="true" lockText="1" noThreeD="1"/>
</file>

<file path=xl/ctrlProps/ctrlProps7.xml><?xml version="1.0" encoding="utf-8"?>
<formControlPr xmlns="http://schemas.microsoft.com/office/spreadsheetml/2009/9/main" objectType="CheckBox" autoLine="false" print="true" lockText="1" noThreeD="1"/>
</file>

<file path=xl/ctrlProps/ctrlProps8.xml><?xml version="1.0" encoding="utf-8"?>
<formControlPr xmlns="http://schemas.microsoft.com/office/spreadsheetml/2009/9/main" objectType="CheckBox" autoLine="false" print="true" lockText="1" noThreeD="1"/>
</file>

<file path=xl/ctrlProps/ctrlProps9.xml><?xml version="1.0" encoding="utf-8"?>
<formControlPr xmlns="http://schemas.microsoft.com/office/spreadsheetml/2009/9/main" objectType="CheckBox" autoLine="false" print="true" lockText="1" noThreeD="1"/>
</file>

<file path=xl/ctrlProps/ctrlProps10.xml><?xml version="1.0" encoding="utf-8"?>
<formControlPr xmlns="http://schemas.microsoft.com/office/spreadsheetml/2009/9/main" objectType="CheckBox" autoLine="false" print="true" lockText="1" noThreeD="1"/>
</file>

<file path=xl/ctrlProps/ctrlProps11.xml><?xml version="1.0" encoding="utf-8"?>
<formControlPr xmlns="http://schemas.microsoft.com/office/spreadsheetml/2009/9/main" objectType="CheckBox" autoLine="false" print="true" lockText="1" noThreeD="1"/>
</file>

<file path=xl/ctrlProps/ctrlProps12.xml><?xml version="1.0" encoding="utf-8"?>
<formControlPr xmlns="http://schemas.microsoft.com/office/spreadsheetml/2009/9/main" objectType="CheckBox" autoLine="false" print="true" lockText="1" noThreeD="1"/>
</file>

<file path=xl/ctrlProps/ctrlProps13.xml><?xml version="1.0" encoding="utf-8"?>
<formControlPr xmlns="http://schemas.microsoft.com/office/spreadsheetml/2009/9/main" objectType="CheckBox" autoLine="false" print="true" lockText="1" noThreeD="1"/>
</file>

<file path=xl/ctrlProps/ctrlProps14.xml><?xml version="1.0" encoding="utf-8"?>
<formControlPr xmlns="http://schemas.microsoft.com/office/spreadsheetml/2009/9/main" objectType="CheckBox" autoLine="false" print="true" lockText="1" noThreeD="1"/>
</file>

<file path=xl/ctrlProps/ctrlProps15.xml><?xml version="1.0" encoding="utf-8"?>
<formControlPr xmlns="http://schemas.microsoft.com/office/spreadsheetml/2009/9/main" objectType="CheckBox" autoLine="false" print="true" lockText="1" noThreeD="1"/>
</file>

<file path=xl/ctrlProps/ctrlProps16.xml><?xml version="1.0" encoding="utf-8"?>
<formControlPr xmlns="http://schemas.microsoft.com/office/spreadsheetml/2009/9/main" objectType="CheckBox" autoLine="false" print="true" lockText="1" noThreeD="1"/>
</file>

<file path=xl/ctrlProps/ctrlProps17.xml><?xml version="1.0" encoding="utf-8"?>
<formControlPr xmlns="http://schemas.microsoft.com/office/spreadsheetml/2009/9/main" objectType="CheckBox" autoLine="false" print="true" lockText="1" noThreeD="1"/>
</file>

<file path=xl/ctrlProps/ctrlProps18.xml><?xml version="1.0" encoding="utf-8"?>
<formControlPr xmlns="http://schemas.microsoft.com/office/spreadsheetml/2009/9/main" objectType="CheckBox" autoLine="false" print="true" lockText="1" noThreeD="1"/>
</file>

<file path=xl/ctrlProps/ctrlProps19.xml><?xml version="1.0" encoding="utf-8"?>
<formControlPr xmlns="http://schemas.microsoft.com/office/spreadsheetml/2009/9/main" objectType="CheckBox" autoLine="false" print="true" lockText="1" noThreeD="1"/>
</file>

<file path=xl/ctrlProps/ctrlProps20.xml><?xml version="1.0" encoding="utf-8"?>
<formControlPr xmlns="http://schemas.microsoft.com/office/spreadsheetml/2009/9/main" objectType="CheckBox" autoLine="false" print="true" lockText="1" noThreeD="1"/>
</file>

<file path=xl/ctrlProps/ctrlProps21.xml><?xml version="1.0" encoding="utf-8"?>
<formControlPr xmlns="http://schemas.microsoft.com/office/spreadsheetml/2009/9/main" objectType="CheckBox" autoLine="false" print="true" lockText="1" noThreeD="1"/>
</file>

<file path=xl/ctrlProps/ctrlProps22.xml><?xml version="1.0" encoding="utf-8"?>
<formControlPr xmlns="http://schemas.microsoft.com/office/spreadsheetml/2009/9/main" objectType="CheckBox" autoLine="false" print="true" lockText="1" noThreeD="1"/>
</file>

<file path=xl/ctrlProps/ctrlProps23.xml><?xml version="1.0" encoding="utf-8"?>
<formControlPr xmlns="http://schemas.microsoft.com/office/spreadsheetml/2009/9/main" objectType="CheckBox" autoLine="false" print="true" lockText="1" noThreeD="1"/>
</file>

<file path=xl/ctrlProps/ctrlProps24.xml><?xml version="1.0" encoding="utf-8"?>
<formControlPr xmlns="http://schemas.microsoft.com/office/spreadsheetml/2009/9/main" objectType="CheckBox" autoLine="false" print="true" lockText="1" noThreeD="1"/>
</file>

<file path=xl/ctrlProps/ctrlProps25.xml><?xml version="1.0" encoding="utf-8"?>
<formControlPr xmlns="http://schemas.microsoft.com/office/spreadsheetml/2009/9/main" objectType="CheckBox" autoLine="false" print="true" lockText="1" noThreeD="1"/>
</file>

<file path=xl/ctrlProps/ctrlProps26.xml><?xml version="1.0" encoding="utf-8"?>
<formControlPr xmlns="http://schemas.microsoft.com/office/spreadsheetml/2009/9/main" objectType="CheckBox" autoLine="false" print="true" lockText="1" noThreeD="1"/>
</file>

<file path=xl/ctrlProps/ctrlProps27.xml><?xml version="1.0" encoding="utf-8"?>
<formControlPr xmlns="http://schemas.microsoft.com/office/spreadsheetml/2009/9/main" objectType="CheckBox" autoLine="false" print="true" lockText="1" noThreeD="1"/>
</file>

<file path=xl/ctrlProps/ctrlProps28.xml><?xml version="1.0" encoding="utf-8"?>
<formControlPr xmlns="http://schemas.microsoft.com/office/spreadsheetml/2009/9/main" objectType="CheckBox" autoLine="false" print="true" lockText="1" noThreeD="1"/>
</file>

<file path=xl/ctrlProps/ctrlProps29.xml><?xml version="1.0" encoding="utf-8"?>
<formControlPr xmlns="http://schemas.microsoft.com/office/spreadsheetml/2009/9/main" objectType="CheckBox" autoLine="false" print="true" lockText="1" noThreeD="1"/>
</file>

<file path=xl/ctrlProps/ctrlProps30.xml><?xml version="1.0" encoding="utf-8"?>
<formControlPr xmlns="http://schemas.microsoft.com/office/spreadsheetml/2009/9/main" objectType="CheckBox" autoLine="false" print="true" lockText="1" noThreeD="1"/>
</file>

<file path=xl/ctrlProps/ctrlProps31.xml><?xml version="1.0" encoding="utf-8"?>
<formControlPr xmlns="http://schemas.microsoft.com/office/spreadsheetml/2009/9/main" objectType="CheckBox" autoLine="false" print="true" lockText="1" noThreeD="1"/>
</file>

<file path=xl/ctrlProps/ctrlProps32.xml><?xml version="1.0" encoding="utf-8"?>
<formControlPr xmlns="http://schemas.microsoft.com/office/spreadsheetml/2009/9/main" objectType="CheckBox" autoLine="false" print="true" lockText="1" noThreeD="1"/>
</file>

<file path=xl/ctrlProps/ctrlProps33.xml><?xml version="1.0" encoding="utf-8"?>
<formControlPr xmlns="http://schemas.microsoft.com/office/spreadsheetml/2009/9/main" objectType="CheckBox" autoLine="false" print="true" lockText="1" noThreeD="1"/>
</file>

<file path=xl/ctrlProps/ctrlProps34.xml><?xml version="1.0" encoding="utf-8"?>
<formControlPr xmlns="http://schemas.microsoft.com/office/spreadsheetml/2009/9/main" objectType="CheckBox" autoLine="false" print="true" lockText="1" noThreeD="1"/>
</file>

<file path=xl/ctrlProps/ctrlProps35.xml><?xml version="1.0" encoding="utf-8"?>
<formControlPr xmlns="http://schemas.microsoft.com/office/spreadsheetml/2009/9/main" objectType="CheckBox" autoLine="false" print="true" lockText="1" noThreeD="1"/>
</file>

<file path=xl/ctrlProps/ctrlProps36.xml><?xml version="1.0" encoding="utf-8"?>
<formControlPr xmlns="http://schemas.microsoft.com/office/spreadsheetml/2009/9/main" objectType="CheckBox" autoLine="false" print="true" lockText="1" noThreeD="1"/>
</file>

<file path=xl/ctrlProps/ctrlProps37.xml><?xml version="1.0" encoding="utf-8"?>
<formControlPr xmlns="http://schemas.microsoft.com/office/spreadsheetml/2009/9/main" objectType="CheckBox" autoLine="false" print="true" lockText="1" noThreeD="1"/>
</file>

<file path=xl/ctrlProps/ctrlProps38.xml><?xml version="1.0" encoding="utf-8"?>
<formControlPr xmlns="http://schemas.microsoft.com/office/spreadsheetml/2009/9/main" objectType="CheckBox" autoLine="false" print="true" lockText="1" noThreeD="1"/>
</file>

<file path=xl/ctrlProps/ctrlProps39.xml><?xml version="1.0" encoding="utf-8"?>
<formControlPr xmlns="http://schemas.microsoft.com/office/spreadsheetml/2009/9/main" objectType="CheckBox" autoLine="false" print="true" lockText="1" noThreeD="1"/>
</file>

<file path=xl/ctrlProps/ctrlProps40.xml><?xml version="1.0" encoding="utf-8"?>
<formControlPr xmlns="http://schemas.microsoft.com/office/spreadsheetml/2009/9/main" objectType="CheckBox" autoLine="false" print="true" lockText="1" noThreeD="1"/>
</file>

<file path=xl/ctrlProps/ctrlProps41.xml><?xml version="1.0" encoding="utf-8"?>
<formControlPr xmlns="http://schemas.microsoft.com/office/spreadsheetml/2009/9/main" objectType="CheckBox" autoLine="false" print="true" lockText="1" noThreeD="1"/>
</file>

<file path=xl/ctrlProps/ctrlProps42.xml><?xml version="1.0" encoding="utf-8"?>
<formControlPr xmlns="http://schemas.microsoft.com/office/spreadsheetml/2009/9/main" objectType="CheckBox" autoLine="false" print="true" lockText="1" noThreeD="1"/>
</file>

<file path=xl/ctrlProps/ctrlProps43.xml><?xml version="1.0" encoding="utf-8"?>
<formControlPr xmlns="http://schemas.microsoft.com/office/spreadsheetml/2009/9/main" objectType="CheckBox" autoLine="false" print="true" lockText="1" noThreeD="1"/>
</file>

<file path=xl/ctrlProps/ctrlProps44.xml><?xml version="1.0" encoding="utf-8"?>
<formControlPr xmlns="http://schemas.microsoft.com/office/spreadsheetml/2009/9/main" objectType="CheckBox" autoLine="false" print="true" lockText="1" noThreeD="1"/>
</file>

<file path=xl/ctrlProps/ctrlProps45.xml><?xml version="1.0" encoding="utf-8"?>
<formControlPr xmlns="http://schemas.microsoft.com/office/spreadsheetml/2009/9/main" objectType="CheckBox" autoLine="false" print="true" lockText="1" noThreeD="1"/>
</file>

<file path=xl/ctrlProps/ctrlProps46.xml><?xml version="1.0" encoding="utf-8"?>
<formControlPr xmlns="http://schemas.microsoft.com/office/spreadsheetml/2009/9/main" objectType="CheckBox" autoLine="false" print="true" lockText="1" noThreeD="1"/>
</file>

<file path=xl/ctrlProps/ctrlProps47.xml><?xml version="1.0" encoding="utf-8"?>
<formControlPr xmlns="http://schemas.microsoft.com/office/spreadsheetml/2009/9/main" objectType="CheckBox" autoLine="false" print="true" lockText="1" noThreeD="1"/>
</file>

<file path=xl/ctrlProps/ctrlProps48.xml><?xml version="1.0" encoding="utf-8"?>
<formControlPr xmlns="http://schemas.microsoft.com/office/spreadsheetml/2009/9/main" objectType="CheckBox" autoLine="false" print="true" lockText="1" noThreeD="1"/>
</file>

<file path=xl/ctrlProps/ctrlProps49.xml><?xml version="1.0" encoding="utf-8"?>
<formControlPr xmlns="http://schemas.microsoft.com/office/spreadsheetml/2009/9/main" objectType="CheckBox" autoLine="false" print="true" lockText="1" noThreeD="1"/>
</file>

<file path=xl/ctrlProps/ctrlProps50.xml><?xml version="1.0" encoding="utf-8"?>
<formControlPr xmlns="http://schemas.microsoft.com/office/spreadsheetml/2009/9/main" objectType="CheckBox" autoLine="false" print="true" lockText="1" noThreeD="1"/>
</file>

<file path=xl/ctrlProps/ctrlProps51.xml><?xml version="1.0" encoding="utf-8"?>
<formControlPr xmlns="http://schemas.microsoft.com/office/spreadsheetml/2009/9/main" objectType="CheckBox" autoLine="false" print="true" lockText="1" noThreeD="1"/>
</file>

<file path=xl/ctrlProps/ctrlProps52.xml><?xml version="1.0" encoding="utf-8"?>
<formControlPr xmlns="http://schemas.microsoft.com/office/spreadsheetml/2009/9/main" objectType="CheckBox" autoLine="false" print="true" lockText="1" noThreeD="1"/>
</file>

<file path=xl/ctrlProps/ctrlProps53.xml><?xml version="1.0" encoding="utf-8"?>
<formControlPr xmlns="http://schemas.microsoft.com/office/spreadsheetml/2009/9/main" objectType="CheckBox" autoLine="false" print="true" lockText="1" noThreeD="1"/>
</file>

<file path=xl/ctrlProps/ctrlProps54.xml><?xml version="1.0" encoding="utf-8"?>
<formControlPr xmlns="http://schemas.microsoft.com/office/spreadsheetml/2009/9/main" objectType="CheckBox" autoLine="false" print="true" lockText="1" noThreeD="1"/>
</file>

<file path=xl/ctrlProps/ctrlProps55.xml><?xml version="1.0" encoding="utf-8"?>
<formControlPr xmlns="http://schemas.microsoft.com/office/spreadsheetml/2009/9/main" objectType="CheckBox" autoLine="false" print="true" lockText="1" noThreeD="1"/>
</file>

<file path=xl/ctrlProps/ctrlProps56.xml><?xml version="1.0" encoding="utf-8"?>
<formControlPr xmlns="http://schemas.microsoft.com/office/spreadsheetml/2009/9/main" objectType="CheckBox" autoLine="false" print="true" lockText="1" noThreeD="1"/>
</file>

<file path=xl/ctrlProps/ctrlProps57.xml><?xml version="1.0" encoding="utf-8"?>
<formControlPr xmlns="http://schemas.microsoft.com/office/spreadsheetml/2009/9/main" objectType="CheckBox" autoLine="false" print="true" lockText="1" noThreeD="1"/>
</file>

<file path=xl/ctrlProps/ctrlProps58.xml><?xml version="1.0" encoding="utf-8"?>
<formControlPr xmlns="http://schemas.microsoft.com/office/spreadsheetml/2009/9/main" objectType="CheckBox" autoLine="false" print="true" lockText="1" noThreeD="1"/>
</file>

<file path=xl/ctrlProps/ctrlProps59.xml><?xml version="1.0" encoding="utf-8"?>
<formControlPr xmlns="http://schemas.microsoft.com/office/spreadsheetml/2009/9/main" objectType="CheckBox" autoLine="false" print="true" lockText="1" noThreeD="1"/>
</file>

<file path=xl/ctrlProps/ctrlProps60.xml><?xml version="1.0" encoding="utf-8"?>
<formControlPr xmlns="http://schemas.microsoft.com/office/spreadsheetml/2009/9/main" objectType="CheckBox" autoLine="false" print="true" lockText="1" noThreeD="1"/>
</file>

<file path=xl/ctrlProps/ctrlProps61.xml><?xml version="1.0" encoding="utf-8"?>
<formControlPr xmlns="http://schemas.microsoft.com/office/spreadsheetml/2009/9/main" objectType="CheckBox" autoLine="false" print="true" lockText="1" noThreeD="1"/>
</file>

<file path=xl/ctrlProps/ctrlProps62.xml><?xml version="1.0" encoding="utf-8"?>
<formControlPr xmlns="http://schemas.microsoft.com/office/spreadsheetml/2009/9/main" objectType="CheckBox" autoLine="false" print="true" lockText="1" noThreeD="1"/>
</file>

<file path=xl/ctrlProps/ctrlProps63.xml><?xml version="1.0" encoding="utf-8"?>
<formControlPr xmlns="http://schemas.microsoft.com/office/spreadsheetml/2009/9/main" objectType="CheckBox" autoLine="false" print="true" lockText="1" noThreeD="1"/>
</file>

<file path=xl/ctrlProps/ctrlProps64.xml><?xml version="1.0" encoding="utf-8"?>
<formControlPr xmlns="http://schemas.microsoft.com/office/spreadsheetml/2009/9/main" objectType="CheckBox" autoLine="false" print="true" lockText="1" noThreeD="1"/>
</file>

<file path=xl/ctrlProps/ctrlProps65.xml><?xml version="1.0" encoding="utf-8"?>
<formControlPr xmlns="http://schemas.microsoft.com/office/spreadsheetml/2009/9/main" objectType="CheckBox" autoLine="false" print="true" lockText="1" noThreeD="1"/>
</file>

<file path=xl/ctrlProps/ctrlProps66.xml><?xml version="1.0" encoding="utf-8"?>
<formControlPr xmlns="http://schemas.microsoft.com/office/spreadsheetml/2009/9/main" objectType="CheckBox" autoLine="false" print="true" lockText="1" noThreeD="1"/>
</file>

<file path=xl/ctrlProps/ctrlProps67.xml><?xml version="1.0" encoding="utf-8"?>
<formControlPr xmlns="http://schemas.microsoft.com/office/spreadsheetml/2009/9/main" objectType="CheckBox" autoLine="false" print="true" lockText="1" noThreeD="1"/>
</file>

<file path=xl/ctrlProps/ctrlProps68.xml><?xml version="1.0" encoding="utf-8"?>
<formControlPr xmlns="http://schemas.microsoft.com/office/spreadsheetml/2009/9/main" objectType="CheckBox" autoLine="false" print="true" lockText="1" noThreeD="1"/>
</file>

<file path=xl/ctrlProps/ctrlProps69.xml><?xml version="1.0" encoding="utf-8"?>
<formControlPr xmlns="http://schemas.microsoft.com/office/spreadsheetml/2009/9/main" objectType="CheckBox" autoLine="false" print="true" lockText="1" noThreeD="1"/>
</file>

<file path=xl/ctrlProps/ctrlProps70.xml><?xml version="1.0" encoding="utf-8"?>
<formControlPr xmlns="http://schemas.microsoft.com/office/spreadsheetml/2009/9/main" objectType="CheckBox" autoLine="false" print="true" lockText="1" noThreeD="1"/>
</file>

<file path=xl/ctrlProps/ctrlProps71.xml><?xml version="1.0" encoding="utf-8"?>
<formControlPr xmlns="http://schemas.microsoft.com/office/spreadsheetml/2009/9/main" objectType="CheckBox" autoLine="false" print="true" lockText="1" noThreeD="1"/>
</file>

<file path=xl/ctrlProps/ctrlProps72.xml><?xml version="1.0" encoding="utf-8"?>
<formControlPr xmlns="http://schemas.microsoft.com/office/spreadsheetml/2009/9/main" objectType="CheckBox" autoLine="false" print="true" lockText="1" noThreeD="1"/>
</file>

<file path=xl/ctrlProps/ctrlProps73.xml><?xml version="1.0" encoding="utf-8"?>
<formControlPr xmlns="http://schemas.microsoft.com/office/spreadsheetml/2009/9/main" objectType="CheckBox" autoLine="false" print="true" lockText="1" noThreeD="1"/>
</file>

<file path=xl/ctrlProps/ctrlProps74.xml><?xml version="1.0" encoding="utf-8"?>
<formControlPr xmlns="http://schemas.microsoft.com/office/spreadsheetml/2009/9/main" objectType="CheckBox" autoLine="false" print="true" lockText="1" noThreeD="1"/>
</file>

<file path=xl/ctrlProps/ctrlProps75.xml><?xml version="1.0" encoding="utf-8"?>
<formControlPr xmlns="http://schemas.microsoft.com/office/spreadsheetml/2009/9/main" objectType="CheckBox" autoLine="false" print="true" lockText="1" noThreeD="1"/>
</file>

<file path=xl/ctrlProps/ctrlProps76.xml><?xml version="1.0" encoding="utf-8"?>
<formControlPr xmlns="http://schemas.microsoft.com/office/spreadsheetml/2009/9/main" objectType="CheckBox" autoLine="false" print="true" lockText="1" noThreeD="1"/>
</file>

<file path=xl/ctrlProps/ctrlProps77.xml><?xml version="1.0" encoding="utf-8"?>
<formControlPr xmlns="http://schemas.microsoft.com/office/spreadsheetml/2009/9/main" objectType="CheckBox" autoLine="false" print="true" lockText="1" noThreeD="1"/>
</file>

<file path=xl/ctrlProps/ctrlProps78.xml><?xml version="1.0" encoding="utf-8"?>
<formControlPr xmlns="http://schemas.microsoft.com/office/spreadsheetml/2009/9/main" objectType="CheckBox" autoLine="false" print="true" lockText="1" noThreeD="1"/>
</file>

<file path=xl/ctrlProps/ctrlProps79.xml><?xml version="1.0" encoding="utf-8"?>
<formControlPr xmlns="http://schemas.microsoft.com/office/spreadsheetml/2009/9/main" objectType="CheckBox" autoLine="false" print="true" lockText="1" noThreeD="1"/>
</file>

<file path=xl/ctrlProps/ctrlProps80.xml><?xml version="1.0" encoding="utf-8"?>
<formControlPr xmlns="http://schemas.microsoft.com/office/spreadsheetml/2009/9/main" objectType="CheckBox" autoLine="false" print="true" lockText="1" noThreeD="1"/>
</file>

<file path=xl/ctrlProps/ctrlProps81.xml><?xml version="1.0" encoding="utf-8"?>
<formControlPr xmlns="http://schemas.microsoft.com/office/spreadsheetml/2009/9/main" objectType="CheckBox" autoLine="false" print="true" lockText="1" noThreeD="1"/>
</file>

<file path=xl/ctrlProps/ctrlProps82.xml><?xml version="1.0" encoding="utf-8"?>
<formControlPr xmlns="http://schemas.microsoft.com/office/spreadsheetml/2009/9/main" objectType="CheckBox" autoLine="false" print="true" lockText="1" noThreeD="1"/>
</file>

<file path=xl/ctrlProps/ctrlProps83.xml><?xml version="1.0" encoding="utf-8"?>
<formControlPr xmlns="http://schemas.microsoft.com/office/spreadsheetml/2009/9/main" objectType="CheckBox" autoLine="false" print="true" lockText="1" noThreeD="1"/>
</file>

<file path=xl/ctrlProps/ctrlProps84.xml><?xml version="1.0" encoding="utf-8"?>
<formControlPr xmlns="http://schemas.microsoft.com/office/spreadsheetml/2009/9/main" objectType="CheckBox" autoLine="false" print="true" lockText="1" noThreeD="1"/>
</file>

<file path=xl/ctrlProps/ctrlProps85.xml><?xml version="1.0" encoding="utf-8"?>
<formControlPr xmlns="http://schemas.microsoft.com/office/spreadsheetml/2009/9/main" objectType="CheckBox" autoLine="false" print="true" lockText="1" noThreeD="1"/>
</file>

<file path=xl/ctrlProps/ctrlProps86.xml><?xml version="1.0" encoding="utf-8"?>
<formControlPr xmlns="http://schemas.microsoft.com/office/spreadsheetml/2009/9/main" objectType="CheckBox" autoLine="false" print="true" lockText="1" noThreeD="1"/>
</file>

<file path=xl/ctrlProps/ctrlProps87.xml><?xml version="1.0" encoding="utf-8"?>
<formControlPr xmlns="http://schemas.microsoft.com/office/spreadsheetml/2009/9/main" objectType="CheckBox" autoLine="false" print="true" lockText="1" noThreeD="1"/>
</file>

<file path=xl/ctrlProps/ctrlProps88.xml><?xml version="1.0" encoding="utf-8"?>
<formControlPr xmlns="http://schemas.microsoft.com/office/spreadsheetml/2009/9/main" objectType="CheckBox" autoLine="false" print="true" lockText="1" noThreeD="1"/>
</file>

<file path=xl/ctrlProps/ctrlProps89.xml><?xml version="1.0" encoding="utf-8"?>
<formControlPr xmlns="http://schemas.microsoft.com/office/spreadsheetml/2009/9/main" objectType="CheckBox" autoLine="false" print="true" lockText="1" noThreeD="1"/>
</file>

<file path=xl/ctrlProps/ctrlProps90.xml><?xml version="1.0" encoding="utf-8"?>
<formControlPr xmlns="http://schemas.microsoft.com/office/spreadsheetml/2009/9/main" objectType="CheckBox" autoLine="false" print="true" lockText="1" noThreeD="1"/>
</file>

<file path=xl/ctrlProps/ctrlProps91.xml><?xml version="1.0" encoding="utf-8"?>
<formControlPr xmlns="http://schemas.microsoft.com/office/spreadsheetml/2009/9/main" objectType="CheckBox" autoLine="false" print="true" lockText="1" noThreeD="1"/>
</file>

<file path=xl/ctrlProps/ctrlProps92.xml><?xml version="1.0" encoding="utf-8"?>
<formControlPr xmlns="http://schemas.microsoft.com/office/spreadsheetml/2009/9/main" objectType="CheckBox" autoLine="false" print="true" lockText="1" noThreeD="1"/>
</file>

<file path=xl/ctrlProps/ctrlProps93.xml><?xml version="1.0" encoding="utf-8"?>
<formControlPr xmlns="http://schemas.microsoft.com/office/spreadsheetml/2009/9/main" objectType="CheckBox" autoLine="false" print="true" lockText="1" noThreeD="1"/>
</file>

<file path=xl/ctrlProps/ctrlProps94.xml><?xml version="1.0" encoding="utf-8"?>
<formControlPr xmlns="http://schemas.microsoft.com/office/spreadsheetml/2009/9/main" objectType="CheckBox" autoLine="false" print="true" lockText="1" noThreeD="1"/>
</file>

<file path=xl/ctrlProps/ctrlProps95.xml><?xml version="1.0" encoding="utf-8"?>
<formControlPr xmlns="http://schemas.microsoft.com/office/spreadsheetml/2009/9/main" objectType="CheckBox" autoLine="false" print="true" lockText="1" noThreeD="1"/>
</file>

<file path=xl/ctrlProps/ctrlProps96.xml><?xml version="1.0" encoding="utf-8"?>
<formControlPr xmlns="http://schemas.microsoft.com/office/spreadsheetml/2009/9/main" objectType="CheckBox" autoLine="false" print="true" lockText="1" noThreeD="1"/>
</file>

<file path=xl/ctrlProps/ctrlProps97.xml><?xml version="1.0" encoding="utf-8"?>
<formControlPr xmlns="http://schemas.microsoft.com/office/spreadsheetml/2009/9/main" objectType="CheckBox" autoLine="false" print="true" lockText="1" noThreeD="1"/>
</file>

<file path=xl/ctrlProps/ctrlProps98.xml><?xml version="1.0" encoding="utf-8"?>
<formControlPr xmlns="http://schemas.microsoft.com/office/spreadsheetml/2009/9/main" objectType="CheckBox" autoLine="false" print="true" lockText="1" noThreeD="1"/>
</file>

<file path=xl/ctrlProps/ctrlProps99.xml><?xml version="1.0" encoding="utf-8"?>
<formControlPr xmlns="http://schemas.microsoft.com/office/spreadsheetml/2009/9/main" objectType="CheckBox" autoLine="false" print="true" lockText="1" noThreeD="1"/>
</file>

<file path=xl/ctrlProps/ctrlProps100.xml><?xml version="1.0" encoding="utf-8"?>
<formControlPr xmlns="http://schemas.microsoft.com/office/spreadsheetml/2009/9/main" objectType="CheckBox" autoLine="false" print="true" lockText="1" noThreeD="1"/>
</file>

<file path=xl/ctrlProps/ctrlProps101.xml><?xml version="1.0" encoding="utf-8"?>
<formControlPr xmlns="http://schemas.microsoft.com/office/spreadsheetml/2009/9/main" objectType="CheckBox" autoLine="false" print="true" lockText="1" noThreeD="1"/>
</file>

<file path=xl/ctrlProps/ctrlProps102.xml><?xml version="1.0" encoding="utf-8"?>
<formControlPr xmlns="http://schemas.microsoft.com/office/spreadsheetml/2009/9/main" objectType="CheckBox" autoLine="false" print="true" lockText="1" noThreeD="1"/>
</file>

<file path=xl/ctrlProps/ctrlProps103.xml><?xml version="1.0" encoding="utf-8"?>
<formControlPr xmlns="http://schemas.microsoft.com/office/spreadsheetml/2009/9/main" objectType="CheckBox" autoLine="false" print="true" lockText="1" noThreeD="1"/>
</file>

<file path=xl/ctrlProps/ctrlProps104.xml><?xml version="1.0" encoding="utf-8"?>
<formControlPr xmlns="http://schemas.microsoft.com/office/spreadsheetml/2009/9/main" objectType="CheckBox" autoLine="false" print="true" lockText="1" noThreeD="1"/>
</file>

<file path=xl/ctrlProps/ctrlProps105.xml><?xml version="1.0" encoding="utf-8"?>
<formControlPr xmlns="http://schemas.microsoft.com/office/spreadsheetml/2009/9/main" objectType="CheckBox" autoLine="false" print="true" lockText="1" noThreeD="1"/>
</file>

<file path=xl/ctrlProps/ctrlProps106.xml><?xml version="1.0" encoding="utf-8"?>
<formControlPr xmlns="http://schemas.microsoft.com/office/spreadsheetml/2009/9/main" objectType="CheckBox" autoLine="false" print="true" lockText="1" noThreeD="1"/>
</file>

<file path=xl/ctrlProps/ctrlProps107.xml><?xml version="1.0" encoding="utf-8"?>
<formControlPr xmlns="http://schemas.microsoft.com/office/spreadsheetml/2009/9/main" objectType="CheckBox" autoLine="false" print="true" lockText="1" noThreeD="1"/>
</file>

<file path=xl/ctrlProps/ctrlProps108.xml><?xml version="1.0" encoding="utf-8"?>
<formControlPr xmlns="http://schemas.microsoft.com/office/spreadsheetml/2009/9/main" objectType="CheckBox" autoLine="false" print="true" lockText="1" noThreeD="1"/>
</file>

<file path=xl/ctrlProps/ctrlProps109.xml><?xml version="1.0" encoding="utf-8"?>
<formControlPr xmlns="http://schemas.microsoft.com/office/spreadsheetml/2009/9/main" objectType="CheckBox" autoLine="false" print="true" lockText="1" noThreeD="1"/>
</file>

<file path=xl/ctrlProps/ctrlProps110.xml><?xml version="1.0" encoding="utf-8"?>
<formControlPr xmlns="http://schemas.microsoft.com/office/spreadsheetml/2009/9/main" objectType="CheckBox" autoLine="false" print="true" lockText="1" noThreeD="1"/>
</file>

<file path=xl/ctrlProps/ctrlProps111.xml><?xml version="1.0" encoding="utf-8"?>
<formControlPr xmlns="http://schemas.microsoft.com/office/spreadsheetml/2009/9/main" objectType="CheckBox" autoLine="false" print="true" lockText="1" noThreeD="1"/>
</file>

<file path=xl/ctrlProps/ctrlProps112.xml><?xml version="1.0" encoding="utf-8"?>
<formControlPr xmlns="http://schemas.microsoft.com/office/spreadsheetml/2009/9/main" objectType="CheckBox" autoLine="false" print="true" lockText="1" noThreeD="1"/>
</file>

<file path=xl/ctrlProps/ctrlProps113.xml><?xml version="1.0" encoding="utf-8"?>
<formControlPr xmlns="http://schemas.microsoft.com/office/spreadsheetml/2009/9/main" objectType="CheckBox" autoLine="false" print="true" lockText="1" noThreeD="1"/>
</file>

<file path=xl/ctrlProps/ctrlProps114.xml><?xml version="1.0" encoding="utf-8"?>
<formControlPr xmlns="http://schemas.microsoft.com/office/spreadsheetml/2009/9/main" objectType="CheckBox" checked="Checked" autoLine="false" print="true" lockText="1" noThreeD="1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5</xdr:row>
      <xdr:rowOff>61200</xdr:rowOff>
    </xdr:from>
    <xdr:to>
      <xdr:col>29</xdr:col>
      <xdr:colOff>188280</xdr:colOff>
      <xdr:row>14</xdr:row>
      <xdr:rowOff>267120</xdr:rowOff>
    </xdr:to>
    <xdr:graphicFrame>
      <xdr:nvGraphicFramePr>
        <xdr:cNvPr id="1" name="Chart 1"/>
        <xdr:cNvGraphicFramePr/>
      </xdr:nvGraphicFramePr>
      <xdr:xfrm>
        <a:off x="15328440" y="2019600"/>
        <a:ext cx="6532560" cy="385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156960</xdr:colOff>
          <xdr:row>4</xdr:row>
          <xdr:rowOff>161280</xdr:rowOff>
        </xdr:from>
        <xdr:to>
          <xdr:col>15</xdr:col>
          <xdr:colOff>-170640</xdr:colOff>
          <xdr:row>5</xdr:row>
          <xdr:rowOff>-97560</xdr:rowOff>
        </xdr:to>
        <xdr:sp>
          <xdr:nvSpPr>
            <xdr:cNvPr id="1001" name="Button 12" descr="3.กดก่อนsav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3.กดก่อนsave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266040</xdr:colOff>
          <xdr:row>6</xdr:row>
          <xdr:rowOff>60840</xdr:rowOff>
        </xdr:from>
        <xdr:to>
          <xdr:col>2</xdr:col>
          <xdr:colOff>-171000</xdr:colOff>
          <xdr:row>7</xdr:row>
          <xdr:rowOff>-428760</xdr:rowOff>
        </xdr:to>
        <xdr:sp>
          <xdr:nvSpPr>
            <xdr:cNvPr id="1002" name="Button 42" descr="1.ตรวจสอบเลขบัตรฯ ซ้ำ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1.ตรวจสอบเลขบัตรฯ ซ้ำ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509040</xdr:colOff>
          <xdr:row>6</xdr:row>
          <xdr:rowOff>403560</xdr:rowOff>
        </xdr:from>
        <xdr:to>
          <xdr:col>16</xdr:col>
          <xdr:colOff>-530640</xdr:colOff>
          <xdr:row>7</xdr:row>
          <xdr:rowOff>-92880</xdr:rowOff>
        </xdr:to>
        <xdr:sp>
          <xdr:nvSpPr>
            <xdr:cNvPr id="1003" name="Button 46" descr="2.ตรวจสอบ&#10;ชื่อ-สกุลซ้ำ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2.ตรวจสอบ
ชื่อ-สกุลซ้ำ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77760</xdr:colOff>
          <xdr:row>6</xdr:row>
          <xdr:rowOff>74880</xdr:rowOff>
        </xdr:from>
        <xdr:to>
          <xdr:col>18</xdr:col>
          <xdr:colOff>-62280</xdr:colOff>
          <xdr:row>7</xdr:row>
          <xdr:rowOff>-496440</xdr:rowOff>
        </xdr:to>
        <xdr:sp>
          <xdr:nvSpPr>
            <xdr:cNvPr id="1004" name="Check Box 116" descr="ผ่านทุกเรคคอร์ด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ผ่านทุกเรคคอร์ด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7</xdr:row>
          <xdr:rowOff>15480</xdr:rowOff>
        </xdr:from>
        <xdr:to>
          <xdr:col>18</xdr:col>
          <xdr:colOff>-703080</xdr:colOff>
          <xdr:row>8</xdr:row>
          <xdr:rowOff>7920</xdr:rowOff>
        </xdr:to>
        <xdr:sp>
          <xdr:nvSpPr>
            <xdr:cNvPr id="1005" name="Check Box 15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8</xdr:row>
          <xdr:rowOff>7920</xdr:rowOff>
        </xdr:from>
        <xdr:to>
          <xdr:col>18</xdr:col>
          <xdr:colOff>-703080</xdr:colOff>
          <xdr:row>9</xdr:row>
          <xdr:rowOff>7920</xdr:rowOff>
        </xdr:to>
        <xdr:sp>
          <xdr:nvSpPr>
            <xdr:cNvPr id="1006" name="Check Box 15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9</xdr:row>
          <xdr:rowOff>23400</xdr:rowOff>
        </xdr:from>
        <xdr:to>
          <xdr:col>18</xdr:col>
          <xdr:colOff>-703080</xdr:colOff>
          <xdr:row>10</xdr:row>
          <xdr:rowOff>23400</xdr:rowOff>
        </xdr:to>
        <xdr:sp>
          <xdr:nvSpPr>
            <xdr:cNvPr id="1007" name="Check Box 15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10</xdr:row>
          <xdr:rowOff>23400</xdr:rowOff>
        </xdr:from>
        <xdr:to>
          <xdr:col>18</xdr:col>
          <xdr:colOff>-703080</xdr:colOff>
          <xdr:row>11</xdr:row>
          <xdr:rowOff>7920</xdr:rowOff>
        </xdr:to>
        <xdr:sp>
          <xdr:nvSpPr>
            <xdr:cNvPr id="1008" name="Check Box 15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11</xdr:row>
          <xdr:rowOff>7920</xdr:rowOff>
        </xdr:from>
        <xdr:to>
          <xdr:col>18</xdr:col>
          <xdr:colOff>-703080</xdr:colOff>
          <xdr:row>12</xdr:row>
          <xdr:rowOff>7920</xdr:rowOff>
        </xdr:to>
        <xdr:sp>
          <xdr:nvSpPr>
            <xdr:cNvPr id="1009" name="Check Box 15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12</xdr:row>
          <xdr:rowOff>7920</xdr:rowOff>
        </xdr:from>
        <xdr:to>
          <xdr:col>18</xdr:col>
          <xdr:colOff>-703080</xdr:colOff>
          <xdr:row>13</xdr:row>
          <xdr:rowOff>7920</xdr:rowOff>
        </xdr:to>
        <xdr:sp>
          <xdr:nvSpPr>
            <xdr:cNvPr id="1010" name="Check Box 16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13</xdr:row>
          <xdr:rowOff>23400</xdr:rowOff>
        </xdr:from>
        <xdr:to>
          <xdr:col>18</xdr:col>
          <xdr:colOff>-703080</xdr:colOff>
          <xdr:row>14</xdr:row>
          <xdr:rowOff>23400</xdr:rowOff>
        </xdr:to>
        <xdr:sp>
          <xdr:nvSpPr>
            <xdr:cNvPr id="1011" name="Check Box 16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14</xdr:row>
          <xdr:rowOff>23400</xdr:rowOff>
        </xdr:from>
        <xdr:to>
          <xdr:col>18</xdr:col>
          <xdr:colOff>-703080</xdr:colOff>
          <xdr:row>15</xdr:row>
          <xdr:rowOff>7920</xdr:rowOff>
        </xdr:to>
        <xdr:sp>
          <xdr:nvSpPr>
            <xdr:cNvPr id="1012" name="Check Box 16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15</xdr:row>
          <xdr:rowOff>7920</xdr:rowOff>
        </xdr:from>
        <xdr:to>
          <xdr:col>18</xdr:col>
          <xdr:colOff>-703080</xdr:colOff>
          <xdr:row>16</xdr:row>
          <xdr:rowOff>7920</xdr:rowOff>
        </xdr:to>
        <xdr:sp>
          <xdr:nvSpPr>
            <xdr:cNvPr id="1013" name="Check Box 16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16</xdr:row>
          <xdr:rowOff>7920</xdr:rowOff>
        </xdr:from>
        <xdr:to>
          <xdr:col>18</xdr:col>
          <xdr:colOff>-703080</xdr:colOff>
          <xdr:row>17</xdr:row>
          <xdr:rowOff>7560</xdr:rowOff>
        </xdr:to>
        <xdr:sp>
          <xdr:nvSpPr>
            <xdr:cNvPr id="1014" name="Check Box 16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17</xdr:row>
          <xdr:rowOff>23400</xdr:rowOff>
        </xdr:from>
        <xdr:to>
          <xdr:col>18</xdr:col>
          <xdr:colOff>-703080</xdr:colOff>
          <xdr:row>18</xdr:row>
          <xdr:rowOff>23400</xdr:rowOff>
        </xdr:to>
        <xdr:sp>
          <xdr:nvSpPr>
            <xdr:cNvPr id="1015" name="Check Box 16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18</xdr:row>
          <xdr:rowOff>23400</xdr:rowOff>
        </xdr:from>
        <xdr:to>
          <xdr:col>18</xdr:col>
          <xdr:colOff>-703080</xdr:colOff>
          <xdr:row>19</xdr:row>
          <xdr:rowOff>7560</xdr:rowOff>
        </xdr:to>
        <xdr:sp>
          <xdr:nvSpPr>
            <xdr:cNvPr id="1016" name="Check Box 16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19</xdr:row>
          <xdr:rowOff>7560</xdr:rowOff>
        </xdr:from>
        <xdr:to>
          <xdr:col>18</xdr:col>
          <xdr:colOff>-703080</xdr:colOff>
          <xdr:row>20</xdr:row>
          <xdr:rowOff>7560</xdr:rowOff>
        </xdr:to>
        <xdr:sp>
          <xdr:nvSpPr>
            <xdr:cNvPr id="1017" name="Check Box 16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20</xdr:row>
          <xdr:rowOff>7560</xdr:rowOff>
        </xdr:from>
        <xdr:to>
          <xdr:col>18</xdr:col>
          <xdr:colOff>-703080</xdr:colOff>
          <xdr:row>21</xdr:row>
          <xdr:rowOff>7560</xdr:rowOff>
        </xdr:to>
        <xdr:sp>
          <xdr:nvSpPr>
            <xdr:cNvPr id="1018" name="Check Box 16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21</xdr:row>
          <xdr:rowOff>23400</xdr:rowOff>
        </xdr:from>
        <xdr:to>
          <xdr:col>18</xdr:col>
          <xdr:colOff>-703080</xdr:colOff>
          <xdr:row>22</xdr:row>
          <xdr:rowOff>23400</xdr:rowOff>
        </xdr:to>
        <xdr:sp>
          <xdr:nvSpPr>
            <xdr:cNvPr id="1019" name="Check Box 16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22</xdr:row>
          <xdr:rowOff>23400</xdr:rowOff>
        </xdr:from>
        <xdr:to>
          <xdr:col>18</xdr:col>
          <xdr:colOff>-703080</xdr:colOff>
          <xdr:row>23</xdr:row>
          <xdr:rowOff>7560</xdr:rowOff>
        </xdr:to>
        <xdr:sp>
          <xdr:nvSpPr>
            <xdr:cNvPr id="1020" name="Check Box 17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23</xdr:row>
          <xdr:rowOff>7560</xdr:rowOff>
        </xdr:from>
        <xdr:to>
          <xdr:col>18</xdr:col>
          <xdr:colOff>-703080</xdr:colOff>
          <xdr:row>24</xdr:row>
          <xdr:rowOff>7560</xdr:rowOff>
        </xdr:to>
        <xdr:sp>
          <xdr:nvSpPr>
            <xdr:cNvPr id="1021" name="Check Box 17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24</xdr:row>
          <xdr:rowOff>7560</xdr:rowOff>
        </xdr:from>
        <xdr:to>
          <xdr:col>18</xdr:col>
          <xdr:colOff>-703080</xdr:colOff>
          <xdr:row>25</xdr:row>
          <xdr:rowOff>7920</xdr:rowOff>
        </xdr:to>
        <xdr:sp>
          <xdr:nvSpPr>
            <xdr:cNvPr id="1022" name="Check Box 17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25</xdr:row>
          <xdr:rowOff>23400</xdr:rowOff>
        </xdr:from>
        <xdr:to>
          <xdr:col>18</xdr:col>
          <xdr:colOff>-703080</xdr:colOff>
          <xdr:row>26</xdr:row>
          <xdr:rowOff>23400</xdr:rowOff>
        </xdr:to>
        <xdr:sp>
          <xdr:nvSpPr>
            <xdr:cNvPr id="1023" name="Check Box 17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26</xdr:row>
          <xdr:rowOff>23400</xdr:rowOff>
        </xdr:from>
        <xdr:to>
          <xdr:col>18</xdr:col>
          <xdr:colOff>-703080</xdr:colOff>
          <xdr:row>27</xdr:row>
          <xdr:rowOff>7920</xdr:rowOff>
        </xdr:to>
        <xdr:sp>
          <xdr:nvSpPr>
            <xdr:cNvPr id="1024" name="Check Box 17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27</xdr:row>
          <xdr:rowOff>7920</xdr:rowOff>
        </xdr:from>
        <xdr:to>
          <xdr:col>18</xdr:col>
          <xdr:colOff>-703080</xdr:colOff>
          <xdr:row>28</xdr:row>
          <xdr:rowOff>7920</xdr:rowOff>
        </xdr:to>
        <xdr:sp>
          <xdr:nvSpPr>
            <xdr:cNvPr id="1025" name="Check Box 17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28</xdr:row>
          <xdr:rowOff>7920</xdr:rowOff>
        </xdr:from>
        <xdr:to>
          <xdr:col>18</xdr:col>
          <xdr:colOff>-703080</xdr:colOff>
          <xdr:row>29</xdr:row>
          <xdr:rowOff>7920</xdr:rowOff>
        </xdr:to>
        <xdr:sp>
          <xdr:nvSpPr>
            <xdr:cNvPr id="1026" name="Check Box 17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29</xdr:row>
          <xdr:rowOff>23400</xdr:rowOff>
        </xdr:from>
        <xdr:to>
          <xdr:col>18</xdr:col>
          <xdr:colOff>-703080</xdr:colOff>
          <xdr:row>30</xdr:row>
          <xdr:rowOff>23400</xdr:rowOff>
        </xdr:to>
        <xdr:sp>
          <xdr:nvSpPr>
            <xdr:cNvPr id="1027" name="Check Box 17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30</xdr:row>
          <xdr:rowOff>23400</xdr:rowOff>
        </xdr:from>
        <xdr:to>
          <xdr:col>18</xdr:col>
          <xdr:colOff>-703080</xdr:colOff>
          <xdr:row>31</xdr:row>
          <xdr:rowOff>7920</xdr:rowOff>
        </xdr:to>
        <xdr:sp>
          <xdr:nvSpPr>
            <xdr:cNvPr id="1028" name="Check Box 17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31</xdr:row>
          <xdr:rowOff>7920</xdr:rowOff>
        </xdr:from>
        <xdr:to>
          <xdr:col>18</xdr:col>
          <xdr:colOff>-703080</xdr:colOff>
          <xdr:row>32</xdr:row>
          <xdr:rowOff>7920</xdr:rowOff>
        </xdr:to>
        <xdr:sp>
          <xdr:nvSpPr>
            <xdr:cNvPr id="1029" name="Check Box 17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32</xdr:row>
          <xdr:rowOff>7920</xdr:rowOff>
        </xdr:from>
        <xdr:to>
          <xdr:col>18</xdr:col>
          <xdr:colOff>-703080</xdr:colOff>
          <xdr:row>33</xdr:row>
          <xdr:rowOff>7920</xdr:rowOff>
        </xdr:to>
        <xdr:sp>
          <xdr:nvSpPr>
            <xdr:cNvPr id="1030" name="Check Box 18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33</xdr:row>
          <xdr:rowOff>23400</xdr:rowOff>
        </xdr:from>
        <xdr:to>
          <xdr:col>18</xdr:col>
          <xdr:colOff>-703080</xdr:colOff>
          <xdr:row>34</xdr:row>
          <xdr:rowOff>23400</xdr:rowOff>
        </xdr:to>
        <xdr:sp>
          <xdr:nvSpPr>
            <xdr:cNvPr id="1031" name="Check Box 18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34</xdr:row>
          <xdr:rowOff>23400</xdr:rowOff>
        </xdr:from>
        <xdr:to>
          <xdr:col>18</xdr:col>
          <xdr:colOff>-703080</xdr:colOff>
          <xdr:row>35</xdr:row>
          <xdr:rowOff>7920</xdr:rowOff>
        </xdr:to>
        <xdr:sp>
          <xdr:nvSpPr>
            <xdr:cNvPr id="1032" name="Check Box 18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35</xdr:row>
          <xdr:rowOff>7920</xdr:rowOff>
        </xdr:from>
        <xdr:to>
          <xdr:col>18</xdr:col>
          <xdr:colOff>-703080</xdr:colOff>
          <xdr:row>36</xdr:row>
          <xdr:rowOff>7920</xdr:rowOff>
        </xdr:to>
        <xdr:sp>
          <xdr:nvSpPr>
            <xdr:cNvPr id="1033" name="Check Box 18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36</xdr:row>
          <xdr:rowOff>7920</xdr:rowOff>
        </xdr:from>
        <xdr:to>
          <xdr:col>18</xdr:col>
          <xdr:colOff>-703080</xdr:colOff>
          <xdr:row>37</xdr:row>
          <xdr:rowOff>7920</xdr:rowOff>
        </xdr:to>
        <xdr:sp>
          <xdr:nvSpPr>
            <xdr:cNvPr id="1034" name="Check Box 18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37</xdr:row>
          <xdr:rowOff>23400</xdr:rowOff>
        </xdr:from>
        <xdr:to>
          <xdr:col>18</xdr:col>
          <xdr:colOff>-703080</xdr:colOff>
          <xdr:row>38</xdr:row>
          <xdr:rowOff>23400</xdr:rowOff>
        </xdr:to>
        <xdr:sp>
          <xdr:nvSpPr>
            <xdr:cNvPr id="1035" name="Check Box 18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38</xdr:row>
          <xdr:rowOff>23400</xdr:rowOff>
        </xdr:from>
        <xdr:to>
          <xdr:col>18</xdr:col>
          <xdr:colOff>-703080</xdr:colOff>
          <xdr:row>39</xdr:row>
          <xdr:rowOff>7920</xdr:rowOff>
        </xdr:to>
        <xdr:sp>
          <xdr:nvSpPr>
            <xdr:cNvPr id="1036" name="Check Box 18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39</xdr:row>
          <xdr:rowOff>7920</xdr:rowOff>
        </xdr:from>
        <xdr:to>
          <xdr:col>18</xdr:col>
          <xdr:colOff>-703080</xdr:colOff>
          <xdr:row>40</xdr:row>
          <xdr:rowOff>7920</xdr:rowOff>
        </xdr:to>
        <xdr:sp>
          <xdr:nvSpPr>
            <xdr:cNvPr id="1037" name="Check Box 18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40</xdr:row>
          <xdr:rowOff>7920</xdr:rowOff>
        </xdr:from>
        <xdr:to>
          <xdr:col>18</xdr:col>
          <xdr:colOff>-703080</xdr:colOff>
          <xdr:row>41</xdr:row>
          <xdr:rowOff>7560</xdr:rowOff>
        </xdr:to>
        <xdr:sp>
          <xdr:nvSpPr>
            <xdr:cNvPr id="1038" name="Check Box 18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41</xdr:row>
          <xdr:rowOff>23400</xdr:rowOff>
        </xdr:from>
        <xdr:to>
          <xdr:col>18</xdr:col>
          <xdr:colOff>-703080</xdr:colOff>
          <xdr:row>42</xdr:row>
          <xdr:rowOff>23400</xdr:rowOff>
        </xdr:to>
        <xdr:sp>
          <xdr:nvSpPr>
            <xdr:cNvPr id="1039" name="Check Box 18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42</xdr:row>
          <xdr:rowOff>23400</xdr:rowOff>
        </xdr:from>
        <xdr:to>
          <xdr:col>18</xdr:col>
          <xdr:colOff>-703080</xdr:colOff>
          <xdr:row>43</xdr:row>
          <xdr:rowOff>7560</xdr:rowOff>
        </xdr:to>
        <xdr:sp>
          <xdr:nvSpPr>
            <xdr:cNvPr id="1040" name="Check Box 19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43</xdr:row>
          <xdr:rowOff>7560</xdr:rowOff>
        </xdr:from>
        <xdr:to>
          <xdr:col>18</xdr:col>
          <xdr:colOff>-703080</xdr:colOff>
          <xdr:row>44</xdr:row>
          <xdr:rowOff>7560</xdr:rowOff>
        </xdr:to>
        <xdr:sp>
          <xdr:nvSpPr>
            <xdr:cNvPr id="1041" name="Check Box 19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44</xdr:row>
          <xdr:rowOff>7560</xdr:rowOff>
        </xdr:from>
        <xdr:to>
          <xdr:col>18</xdr:col>
          <xdr:colOff>-703080</xdr:colOff>
          <xdr:row>45</xdr:row>
          <xdr:rowOff>7560</xdr:rowOff>
        </xdr:to>
        <xdr:sp>
          <xdr:nvSpPr>
            <xdr:cNvPr id="1042" name="Check Box 19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45</xdr:row>
          <xdr:rowOff>23400</xdr:rowOff>
        </xdr:from>
        <xdr:to>
          <xdr:col>18</xdr:col>
          <xdr:colOff>-703080</xdr:colOff>
          <xdr:row>46</xdr:row>
          <xdr:rowOff>23400</xdr:rowOff>
        </xdr:to>
        <xdr:sp>
          <xdr:nvSpPr>
            <xdr:cNvPr id="1043" name="Check Box 19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46</xdr:row>
          <xdr:rowOff>23400</xdr:rowOff>
        </xdr:from>
        <xdr:to>
          <xdr:col>18</xdr:col>
          <xdr:colOff>-703080</xdr:colOff>
          <xdr:row>47</xdr:row>
          <xdr:rowOff>7560</xdr:rowOff>
        </xdr:to>
        <xdr:sp>
          <xdr:nvSpPr>
            <xdr:cNvPr id="1044" name="Check Box 19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47</xdr:row>
          <xdr:rowOff>7560</xdr:rowOff>
        </xdr:from>
        <xdr:to>
          <xdr:col>18</xdr:col>
          <xdr:colOff>-703080</xdr:colOff>
          <xdr:row>48</xdr:row>
          <xdr:rowOff>7560</xdr:rowOff>
        </xdr:to>
        <xdr:sp>
          <xdr:nvSpPr>
            <xdr:cNvPr id="1045" name="Check Box 19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48</xdr:row>
          <xdr:rowOff>7560</xdr:rowOff>
        </xdr:from>
        <xdr:to>
          <xdr:col>18</xdr:col>
          <xdr:colOff>-703080</xdr:colOff>
          <xdr:row>49</xdr:row>
          <xdr:rowOff>7920</xdr:rowOff>
        </xdr:to>
        <xdr:sp>
          <xdr:nvSpPr>
            <xdr:cNvPr id="1046" name="Check Box 19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49</xdr:row>
          <xdr:rowOff>23400</xdr:rowOff>
        </xdr:from>
        <xdr:to>
          <xdr:col>18</xdr:col>
          <xdr:colOff>-703080</xdr:colOff>
          <xdr:row>50</xdr:row>
          <xdr:rowOff>23400</xdr:rowOff>
        </xdr:to>
        <xdr:sp>
          <xdr:nvSpPr>
            <xdr:cNvPr id="1047" name="Check Box 19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50</xdr:row>
          <xdr:rowOff>23400</xdr:rowOff>
        </xdr:from>
        <xdr:to>
          <xdr:col>18</xdr:col>
          <xdr:colOff>-703080</xdr:colOff>
          <xdr:row>51</xdr:row>
          <xdr:rowOff>7920</xdr:rowOff>
        </xdr:to>
        <xdr:sp>
          <xdr:nvSpPr>
            <xdr:cNvPr id="1048" name="Check Box 19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51</xdr:row>
          <xdr:rowOff>7920</xdr:rowOff>
        </xdr:from>
        <xdr:to>
          <xdr:col>18</xdr:col>
          <xdr:colOff>-703080</xdr:colOff>
          <xdr:row>52</xdr:row>
          <xdr:rowOff>7920</xdr:rowOff>
        </xdr:to>
        <xdr:sp>
          <xdr:nvSpPr>
            <xdr:cNvPr id="1049" name="Check Box 19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52</xdr:row>
          <xdr:rowOff>7920</xdr:rowOff>
        </xdr:from>
        <xdr:to>
          <xdr:col>18</xdr:col>
          <xdr:colOff>-703080</xdr:colOff>
          <xdr:row>53</xdr:row>
          <xdr:rowOff>7920</xdr:rowOff>
        </xdr:to>
        <xdr:sp>
          <xdr:nvSpPr>
            <xdr:cNvPr id="1050" name="Check Box 20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53</xdr:row>
          <xdr:rowOff>23400</xdr:rowOff>
        </xdr:from>
        <xdr:to>
          <xdr:col>18</xdr:col>
          <xdr:colOff>-703080</xdr:colOff>
          <xdr:row>54</xdr:row>
          <xdr:rowOff>23400</xdr:rowOff>
        </xdr:to>
        <xdr:sp>
          <xdr:nvSpPr>
            <xdr:cNvPr id="1051" name="Check Box 20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54</xdr:row>
          <xdr:rowOff>23400</xdr:rowOff>
        </xdr:from>
        <xdr:to>
          <xdr:col>18</xdr:col>
          <xdr:colOff>-703080</xdr:colOff>
          <xdr:row>55</xdr:row>
          <xdr:rowOff>7920</xdr:rowOff>
        </xdr:to>
        <xdr:sp>
          <xdr:nvSpPr>
            <xdr:cNvPr id="1052" name="Check Box 20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55</xdr:row>
          <xdr:rowOff>7920</xdr:rowOff>
        </xdr:from>
        <xdr:to>
          <xdr:col>18</xdr:col>
          <xdr:colOff>-703080</xdr:colOff>
          <xdr:row>56</xdr:row>
          <xdr:rowOff>7920</xdr:rowOff>
        </xdr:to>
        <xdr:sp>
          <xdr:nvSpPr>
            <xdr:cNvPr id="1053" name="Check Box 20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56</xdr:row>
          <xdr:rowOff>7920</xdr:rowOff>
        </xdr:from>
        <xdr:to>
          <xdr:col>18</xdr:col>
          <xdr:colOff>-703080</xdr:colOff>
          <xdr:row>57</xdr:row>
          <xdr:rowOff>7920</xdr:rowOff>
        </xdr:to>
        <xdr:sp>
          <xdr:nvSpPr>
            <xdr:cNvPr id="1054" name="Check Box 20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57</xdr:row>
          <xdr:rowOff>23400</xdr:rowOff>
        </xdr:from>
        <xdr:to>
          <xdr:col>18</xdr:col>
          <xdr:colOff>-703080</xdr:colOff>
          <xdr:row>58</xdr:row>
          <xdr:rowOff>23400</xdr:rowOff>
        </xdr:to>
        <xdr:sp>
          <xdr:nvSpPr>
            <xdr:cNvPr id="1055" name="Check Box 20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58</xdr:row>
          <xdr:rowOff>23400</xdr:rowOff>
        </xdr:from>
        <xdr:to>
          <xdr:col>18</xdr:col>
          <xdr:colOff>-703080</xdr:colOff>
          <xdr:row>59</xdr:row>
          <xdr:rowOff>7920</xdr:rowOff>
        </xdr:to>
        <xdr:sp>
          <xdr:nvSpPr>
            <xdr:cNvPr id="1056" name="Check Box 20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59</xdr:row>
          <xdr:rowOff>7920</xdr:rowOff>
        </xdr:from>
        <xdr:to>
          <xdr:col>18</xdr:col>
          <xdr:colOff>-703080</xdr:colOff>
          <xdr:row>60</xdr:row>
          <xdr:rowOff>7920</xdr:rowOff>
        </xdr:to>
        <xdr:sp>
          <xdr:nvSpPr>
            <xdr:cNvPr id="1057" name="Check Box 20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60</xdr:row>
          <xdr:rowOff>7920</xdr:rowOff>
        </xdr:from>
        <xdr:to>
          <xdr:col>18</xdr:col>
          <xdr:colOff>-703080</xdr:colOff>
          <xdr:row>61</xdr:row>
          <xdr:rowOff>7920</xdr:rowOff>
        </xdr:to>
        <xdr:sp>
          <xdr:nvSpPr>
            <xdr:cNvPr id="1058" name="Check Box 20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61</xdr:row>
          <xdr:rowOff>23400</xdr:rowOff>
        </xdr:from>
        <xdr:to>
          <xdr:col>18</xdr:col>
          <xdr:colOff>-703080</xdr:colOff>
          <xdr:row>62</xdr:row>
          <xdr:rowOff>23400</xdr:rowOff>
        </xdr:to>
        <xdr:sp>
          <xdr:nvSpPr>
            <xdr:cNvPr id="1059" name="Check Box 20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62</xdr:row>
          <xdr:rowOff>23400</xdr:rowOff>
        </xdr:from>
        <xdr:to>
          <xdr:col>18</xdr:col>
          <xdr:colOff>-703080</xdr:colOff>
          <xdr:row>63</xdr:row>
          <xdr:rowOff>7920</xdr:rowOff>
        </xdr:to>
        <xdr:sp>
          <xdr:nvSpPr>
            <xdr:cNvPr id="1060" name="Check Box 21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63</xdr:row>
          <xdr:rowOff>7920</xdr:rowOff>
        </xdr:from>
        <xdr:to>
          <xdr:col>18</xdr:col>
          <xdr:colOff>-703080</xdr:colOff>
          <xdr:row>64</xdr:row>
          <xdr:rowOff>7920</xdr:rowOff>
        </xdr:to>
        <xdr:sp>
          <xdr:nvSpPr>
            <xdr:cNvPr id="1061" name="Check Box 21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64</xdr:row>
          <xdr:rowOff>7920</xdr:rowOff>
        </xdr:from>
        <xdr:to>
          <xdr:col>18</xdr:col>
          <xdr:colOff>-703080</xdr:colOff>
          <xdr:row>65</xdr:row>
          <xdr:rowOff>7560</xdr:rowOff>
        </xdr:to>
        <xdr:sp>
          <xdr:nvSpPr>
            <xdr:cNvPr id="1062" name="Check Box 21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65</xdr:row>
          <xdr:rowOff>23400</xdr:rowOff>
        </xdr:from>
        <xdr:to>
          <xdr:col>18</xdr:col>
          <xdr:colOff>-703080</xdr:colOff>
          <xdr:row>66</xdr:row>
          <xdr:rowOff>23400</xdr:rowOff>
        </xdr:to>
        <xdr:sp>
          <xdr:nvSpPr>
            <xdr:cNvPr id="1063" name="Check Box 21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66</xdr:row>
          <xdr:rowOff>23400</xdr:rowOff>
        </xdr:from>
        <xdr:to>
          <xdr:col>18</xdr:col>
          <xdr:colOff>-703080</xdr:colOff>
          <xdr:row>67</xdr:row>
          <xdr:rowOff>7560</xdr:rowOff>
        </xdr:to>
        <xdr:sp>
          <xdr:nvSpPr>
            <xdr:cNvPr id="1064" name="Check Box 21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67</xdr:row>
          <xdr:rowOff>7560</xdr:rowOff>
        </xdr:from>
        <xdr:to>
          <xdr:col>18</xdr:col>
          <xdr:colOff>-703080</xdr:colOff>
          <xdr:row>68</xdr:row>
          <xdr:rowOff>7560</xdr:rowOff>
        </xdr:to>
        <xdr:sp>
          <xdr:nvSpPr>
            <xdr:cNvPr id="1065" name="Check Box 21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68</xdr:row>
          <xdr:rowOff>7560</xdr:rowOff>
        </xdr:from>
        <xdr:to>
          <xdr:col>18</xdr:col>
          <xdr:colOff>-703080</xdr:colOff>
          <xdr:row>69</xdr:row>
          <xdr:rowOff>7560</xdr:rowOff>
        </xdr:to>
        <xdr:sp>
          <xdr:nvSpPr>
            <xdr:cNvPr id="1066" name="Check Box 21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69</xdr:row>
          <xdr:rowOff>23400</xdr:rowOff>
        </xdr:from>
        <xdr:to>
          <xdr:col>18</xdr:col>
          <xdr:colOff>-703080</xdr:colOff>
          <xdr:row>70</xdr:row>
          <xdr:rowOff>23400</xdr:rowOff>
        </xdr:to>
        <xdr:sp>
          <xdr:nvSpPr>
            <xdr:cNvPr id="1067" name="Check Box 21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70</xdr:row>
          <xdr:rowOff>23400</xdr:rowOff>
        </xdr:from>
        <xdr:to>
          <xdr:col>18</xdr:col>
          <xdr:colOff>-703080</xdr:colOff>
          <xdr:row>71</xdr:row>
          <xdr:rowOff>7560</xdr:rowOff>
        </xdr:to>
        <xdr:sp>
          <xdr:nvSpPr>
            <xdr:cNvPr id="1068" name="Check Box 21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71</xdr:row>
          <xdr:rowOff>7560</xdr:rowOff>
        </xdr:from>
        <xdr:to>
          <xdr:col>18</xdr:col>
          <xdr:colOff>-703080</xdr:colOff>
          <xdr:row>72</xdr:row>
          <xdr:rowOff>7560</xdr:rowOff>
        </xdr:to>
        <xdr:sp>
          <xdr:nvSpPr>
            <xdr:cNvPr id="1069" name="Check Box 21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72</xdr:row>
          <xdr:rowOff>7560</xdr:rowOff>
        </xdr:from>
        <xdr:to>
          <xdr:col>18</xdr:col>
          <xdr:colOff>-703080</xdr:colOff>
          <xdr:row>73</xdr:row>
          <xdr:rowOff>7920</xdr:rowOff>
        </xdr:to>
        <xdr:sp>
          <xdr:nvSpPr>
            <xdr:cNvPr id="1070" name="Check Box 22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73</xdr:row>
          <xdr:rowOff>23400</xdr:rowOff>
        </xdr:from>
        <xdr:to>
          <xdr:col>18</xdr:col>
          <xdr:colOff>-703080</xdr:colOff>
          <xdr:row>74</xdr:row>
          <xdr:rowOff>23400</xdr:rowOff>
        </xdr:to>
        <xdr:sp>
          <xdr:nvSpPr>
            <xdr:cNvPr id="1071" name="Check Box 22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74</xdr:row>
          <xdr:rowOff>23400</xdr:rowOff>
        </xdr:from>
        <xdr:to>
          <xdr:col>18</xdr:col>
          <xdr:colOff>-703080</xdr:colOff>
          <xdr:row>75</xdr:row>
          <xdr:rowOff>7920</xdr:rowOff>
        </xdr:to>
        <xdr:sp>
          <xdr:nvSpPr>
            <xdr:cNvPr id="1072" name="Check Box 22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75</xdr:row>
          <xdr:rowOff>7920</xdr:rowOff>
        </xdr:from>
        <xdr:to>
          <xdr:col>18</xdr:col>
          <xdr:colOff>-703080</xdr:colOff>
          <xdr:row>76</xdr:row>
          <xdr:rowOff>7920</xdr:rowOff>
        </xdr:to>
        <xdr:sp>
          <xdr:nvSpPr>
            <xdr:cNvPr id="1073" name="Check Box 22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76</xdr:row>
          <xdr:rowOff>7920</xdr:rowOff>
        </xdr:from>
        <xdr:to>
          <xdr:col>18</xdr:col>
          <xdr:colOff>-703080</xdr:colOff>
          <xdr:row>77</xdr:row>
          <xdr:rowOff>7920</xdr:rowOff>
        </xdr:to>
        <xdr:sp>
          <xdr:nvSpPr>
            <xdr:cNvPr id="1074" name="Check Box 22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77</xdr:row>
          <xdr:rowOff>23400</xdr:rowOff>
        </xdr:from>
        <xdr:to>
          <xdr:col>18</xdr:col>
          <xdr:colOff>-703080</xdr:colOff>
          <xdr:row>78</xdr:row>
          <xdr:rowOff>23400</xdr:rowOff>
        </xdr:to>
        <xdr:sp>
          <xdr:nvSpPr>
            <xdr:cNvPr id="1075" name="Check Box 22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78</xdr:row>
          <xdr:rowOff>23400</xdr:rowOff>
        </xdr:from>
        <xdr:to>
          <xdr:col>18</xdr:col>
          <xdr:colOff>-703080</xdr:colOff>
          <xdr:row>79</xdr:row>
          <xdr:rowOff>7920</xdr:rowOff>
        </xdr:to>
        <xdr:sp>
          <xdr:nvSpPr>
            <xdr:cNvPr id="1076" name="Check Box 22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79</xdr:row>
          <xdr:rowOff>7920</xdr:rowOff>
        </xdr:from>
        <xdr:to>
          <xdr:col>18</xdr:col>
          <xdr:colOff>-703080</xdr:colOff>
          <xdr:row>80</xdr:row>
          <xdr:rowOff>7920</xdr:rowOff>
        </xdr:to>
        <xdr:sp>
          <xdr:nvSpPr>
            <xdr:cNvPr id="1077" name="Check Box 22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80</xdr:row>
          <xdr:rowOff>7920</xdr:rowOff>
        </xdr:from>
        <xdr:to>
          <xdr:col>18</xdr:col>
          <xdr:colOff>-703080</xdr:colOff>
          <xdr:row>81</xdr:row>
          <xdr:rowOff>7920</xdr:rowOff>
        </xdr:to>
        <xdr:sp>
          <xdr:nvSpPr>
            <xdr:cNvPr id="1078" name="Check Box 22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81</xdr:row>
          <xdr:rowOff>23400</xdr:rowOff>
        </xdr:from>
        <xdr:to>
          <xdr:col>18</xdr:col>
          <xdr:colOff>-703080</xdr:colOff>
          <xdr:row>82</xdr:row>
          <xdr:rowOff>23400</xdr:rowOff>
        </xdr:to>
        <xdr:sp>
          <xdr:nvSpPr>
            <xdr:cNvPr id="1079" name="Check Box 22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82</xdr:row>
          <xdr:rowOff>23400</xdr:rowOff>
        </xdr:from>
        <xdr:to>
          <xdr:col>18</xdr:col>
          <xdr:colOff>-703080</xdr:colOff>
          <xdr:row>83</xdr:row>
          <xdr:rowOff>7920</xdr:rowOff>
        </xdr:to>
        <xdr:sp>
          <xdr:nvSpPr>
            <xdr:cNvPr id="1080" name="Check Box 23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83</xdr:row>
          <xdr:rowOff>7920</xdr:rowOff>
        </xdr:from>
        <xdr:to>
          <xdr:col>18</xdr:col>
          <xdr:colOff>-703080</xdr:colOff>
          <xdr:row>84</xdr:row>
          <xdr:rowOff>7920</xdr:rowOff>
        </xdr:to>
        <xdr:sp>
          <xdr:nvSpPr>
            <xdr:cNvPr id="1081" name="Check Box 23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84</xdr:row>
          <xdr:rowOff>7920</xdr:rowOff>
        </xdr:from>
        <xdr:to>
          <xdr:col>18</xdr:col>
          <xdr:colOff>-703080</xdr:colOff>
          <xdr:row>85</xdr:row>
          <xdr:rowOff>7920</xdr:rowOff>
        </xdr:to>
        <xdr:sp>
          <xdr:nvSpPr>
            <xdr:cNvPr id="1082" name="Check Box 23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85</xdr:row>
          <xdr:rowOff>23400</xdr:rowOff>
        </xdr:from>
        <xdr:to>
          <xdr:col>18</xdr:col>
          <xdr:colOff>-703080</xdr:colOff>
          <xdr:row>86</xdr:row>
          <xdr:rowOff>23400</xdr:rowOff>
        </xdr:to>
        <xdr:sp>
          <xdr:nvSpPr>
            <xdr:cNvPr id="1083" name="Check Box 23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86</xdr:row>
          <xdr:rowOff>23400</xdr:rowOff>
        </xdr:from>
        <xdr:to>
          <xdr:col>18</xdr:col>
          <xdr:colOff>-703080</xdr:colOff>
          <xdr:row>87</xdr:row>
          <xdr:rowOff>7920</xdr:rowOff>
        </xdr:to>
        <xdr:sp>
          <xdr:nvSpPr>
            <xdr:cNvPr id="1084" name="Check Box 23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87</xdr:row>
          <xdr:rowOff>7920</xdr:rowOff>
        </xdr:from>
        <xdr:to>
          <xdr:col>18</xdr:col>
          <xdr:colOff>-703080</xdr:colOff>
          <xdr:row>88</xdr:row>
          <xdr:rowOff>7920</xdr:rowOff>
        </xdr:to>
        <xdr:sp>
          <xdr:nvSpPr>
            <xdr:cNvPr id="1085" name="Check Box 23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88</xdr:row>
          <xdr:rowOff>7920</xdr:rowOff>
        </xdr:from>
        <xdr:to>
          <xdr:col>18</xdr:col>
          <xdr:colOff>-703080</xdr:colOff>
          <xdr:row>89</xdr:row>
          <xdr:rowOff>7560</xdr:rowOff>
        </xdr:to>
        <xdr:sp>
          <xdr:nvSpPr>
            <xdr:cNvPr id="1086" name="Check Box 23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89</xdr:row>
          <xdr:rowOff>23400</xdr:rowOff>
        </xdr:from>
        <xdr:to>
          <xdr:col>18</xdr:col>
          <xdr:colOff>-703080</xdr:colOff>
          <xdr:row>90</xdr:row>
          <xdr:rowOff>23400</xdr:rowOff>
        </xdr:to>
        <xdr:sp>
          <xdr:nvSpPr>
            <xdr:cNvPr id="1087" name="Check Box 23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90</xdr:row>
          <xdr:rowOff>23400</xdr:rowOff>
        </xdr:from>
        <xdr:to>
          <xdr:col>18</xdr:col>
          <xdr:colOff>-703080</xdr:colOff>
          <xdr:row>91</xdr:row>
          <xdr:rowOff>7560</xdr:rowOff>
        </xdr:to>
        <xdr:sp>
          <xdr:nvSpPr>
            <xdr:cNvPr id="1088" name="Check Box 23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91</xdr:row>
          <xdr:rowOff>7560</xdr:rowOff>
        </xdr:from>
        <xdr:to>
          <xdr:col>18</xdr:col>
          <xdr:colOff>-703080</xdr:colOff>
          <xdr:row>92</xdr:row>
          <xdr:rowOff>7560</xdr:rowOff>
        </xdr:to>
        <xdr:sp>
          <xdr:nvSpPr>
            <xdr:cNvPr id="1089" name="Check Box 23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92</xdr:row>
          <xdr:rowOff>7560</xdr:rowOff>
        </xdr:from>
        <xdr:to>
          <xdr:col>18</xdr:col>
          <xdr:colOff>-703080</xdr:colOff>
          <xdr:row>93</xdr:row>
          <xdr:rowOff>7560</xdr:rowOff>
        </xdr:to>
        <xdr:sp>
          <xdr:nvSpPr>
            <xdr:cNvPr id="1090" name="Check Box 24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93</xdr:row>
          <xdr:rowOff>23400</xdr:rowOff>
        </xdr:from>
        <xdr:to>
          <xdr:col>18</xdr:col>
          <xdr:colOff>-703080</xdr:colOff>
          <xdr:row>94</xdr:row>
          <xdr:rowOff>23400</xdr:rowOff>
        </xdr:to>
        <xdr:sp>
          <xdr:nvSpPr>
            <xdr:cNvPr id="1091" name="Check Box 24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94</xdr:row>
          <xdr:rowOff>23400</xdr:rowOff>
        </xdr:from>
        <xdr:to>
          <xdr:col>18</xdr:col>
          <xdr:colOff>-703080</xdr:colOff>
          <xdr:row>95</xdr:row>
          <xdr:rowOff>7560</xdr:rowOff>
        </xdr:to>
        <xdr:sp>
          <xdr:nvSpPr>
            <xdr:cNvPr id="1092" name="Check Box 24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95</xdr:row>
          <xdr:rowOff>7560</xdr:rowOff>
        </xdr:from>
        <xdr:to>
          <xdr:col>18</xdr:col>
          <xdr:colOff>-703080</xdr:colOff>
          <xdr:row>96</xdr:row>
          <xdr:rowOff>7560</xdr:rowOff>
        </xdr:to>
        <xdr:sp>
          <xdr:nvSpPr>
            <xdr:cNvPr id="1093" name="Check Box 24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96</xdr:row>
          <xdr:rowOff>7560</xdr:rowOff>
        </xdr:from>
        <xdr:to>
          <xdr:col>18</xdr:col>
          <xdr:colOff>-703080</xdr:colOff>
          <xdr:row>97</xdr:row>
          <xdr:rowOff>7920</xdr:rowOff>
        </xdr:to>
        <xdr:sp>
          <xdr:nvSpPr>
            <xdr:cNvPr id="1094" name="Check Box 24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97</xdr:row>
          <xdr:rowOff>23400</xdr:rowOff>
        </xdr:from>
        <xdr:to>
          <xdr:col>18</xdr:col>
          <xdr:colOff>-703080</xdr:colOff>
          <xdr:row>98</xdr:row>
          <xdr:rowOff>23400</xdr:rowOff>
        </xdr:to>
        <xdr:sp>
          <xdr:nvSpPr>
            <xdr:cNvPr id="1095" name="Check Box 24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98</xdr:row>
          <xdr:rowOff>23400</xdr:rowOff>
        </xdr:from>
        <xdr:to>
          <xdr:col>18</xdr:col>
          <xdr:colOff>-703080</xdr:colOff>
          <xdr:row>99</xdr:row>
          <xdr:rowOff>7920</xdr:rowOff>
        </xdr:to>
        <xdr:sp>
          <xdr:nvSpPr>
            <xdr:cNvPr id="1096" name="Check Box 24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99</xdr:row>
          <xdr:rowOff>7920</xdr:rowOff>
        </xdr:from>
        <xdr:to>
          <xdr:col>18</xdr:col>
          <xdr:colOff>-703080</xdr:colOff>
          <xdr:row>100</xdr:row>
          <xdr:rowOff>7920</xdr:rowOff>
        </xdr:to>
        <xdr:sp>
          <xdr:nvSpPr>
            <xdr:cNvPr id="1097" name="Check Box 24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100</xdr:row>
          <xdr:rowOff>7920</xdr:rowOff>
        </xdr:from>
        <xdr:to>
          <xdr:col>18</xdr:col>
          <xdr:colOff>-703080</xdr:colOff>
          <xdr:row>101</xdr:row>
          <xdr:rowOff>7920</xdr:rowOff>
        </xdr:to>
        <xdr:sp>
          <xdr:nvSpPr>
            <xdr:cNvPr id="1098" name="Check Box 24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101</xdr:row>
          <xdr:rowOff>23400</xdr:rowOff>
        </xdr:from>
        <xdr:to>
          <xdr:col>18</xdr:col>
          <xdr:colOff>-703080</xdr:colOff>
          <xdr:row>102</xdr:row>
          <xdr:rowOff>23400</xdr:rowOff>
        </xdr:to>
        <xdr:sp>
          <xdr:nvSpPr>
            <xdr:cNvPr id="1099" name="Check Box 24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102</xdr:row>
          <xdr:rowOff>23400</xdr:rowOff>
        </xdr:from>
        <xdr:to>
          <xdr:col>18</xdr:col>
          <xdr:colOff>-703080</xdr:colOff>
          <xdr:row>103</xdr:row>
          <xdr:rowOff>7920</xdr:rowOff>
        </xdr:to>
        <xdr:sp>
          <xdr:nvSpPr>
            <xdr:cNvPr id="1100" name="Check Box 25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103</xdr:row>
          <xdr:rowOff>7920</xdr:rowOff>
        </xdr:from>
        <xdr:to>
          <xdr:col>18</xdr:col>
          <xdr:colOff>-703080</xdr:colOff>
          <xdr:row>104</xdr:row>
          <xdr:rowOff>7920</xdr:rowOff>
        </xdr:to>
        <xdr:sp>
          <xdr:nvSpPr>
            <xdr:cNvPr id="1101" name="Check Box 25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104</xdr:row>
          <xdr:rowOff>7920</xdr:rowOff>
        </xdr:from>
        <xdr:to>
          <xdr:col>18</xdr:col>
          <xdr:colOff>-703080</xdr:colOff>
          <xdr:row>105</xdr:row>
          <xdr:rowOff>7920</xdr:rowOff>
        </xdr:to>
        <xdr:sp>
          <xdr:nvSpPr>
            <xdr:cNvPr id="1102" name="Check Box 25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105</xdr:row>
          <xdr:rowOff>23400</xdr:rowOff>
        </xdr:from>
        <xdr:to>
          <xdr:col>18</xdr:col>
          <xdr:colOff>-703080</xdr:colOff>
          <xdr:row>106</xdr:row>
          <xdr:rowOff>23400</xdr:rowOff>
        </xdr:to>
        <xdr:sp>
          <xdr:nvSpPr>
            <xdr:cNvPr id="1103" name="Check Box 25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106</xdr:row>
          <xdr:rowOff>23400</xdr:rowOff>
        </xdr:from>
        <xdr:to>
          <xdr:col>18</xdr:col>
          <xdr:colOff>-703080</xdr:colOff>
          <xdr:row>107</xdr:row>
          <xdr:rowOff>7920</xdr:rowOff>
        </xdr:to>
        <xdr:sp>
          <xdr:nvSpPr>
            <xdr:cNvPr id="1104" name="Check Box 25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107</xdr:row>
          <xdr:rowOff>0</xdr:rowOff>
        </xdr:from>
        <xdr:to>
          <xdr:col>18</xdr:col>
          <xdr:colOff>-703080</xdr:colOff>
          <xdr:row>108</xdr:row>
          <xdr:rowOff>0</xdr:rowOff>
        </xdr:to>
        <xdr:sp>
          <xdr:nvSpPr>
            <xdr:cNvPr id="1105" name="Check Box 25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107</xdr:row>
          <xdr:rowOff>0</xdr:rowOff>
        </xdr:from>
        <xdr:to>
          <xdr:col>18</xdr:col>
          <xdr:colOff>-703080</xdr:colOff>
          <xdr:row>108</xdr:row>
          <xdr:rowOff>0</xdr:rowOff>
        </xdr:to>
        <xdr:sp>
          <xdr:nvSpPr>
            <xdr:cNvPr id="1106" name="Check Box 25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107</xdr:row>
          <xdr:rowOff>0</xdr:rowOff>
        </xdr:from>
        <xdr:to>
          <xdr:col>18</xdr:col>
          <xdr:colOff>-703080</xdr:colOff>
          <xdr:row>108</xdr:row>
          <xdr:rowOff>0</xdr:rowOff>
        </xdr:to>
        <xdr:sp>
          <xdr:nvSpPr>
            <xdr:cNvPr id="1107" name="Check Box 25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107</xdr:row>
          <xdr:rowOff>0</xdr:rowOff>
        </xdr:from>
        <xdr:to>
          <xdr:col>18</xdr:col>
          <xdr:colOff>-703080</xdr:colOff>
          <xdr:row>108</xdr:row>
          <xdr:rowOff>-7560</xdr:rowOff>
        </xdr:to>
        <xdr:sp>
          <xdr:nvSpPr>
            <xdr:cNvPr id="1108" name="Check Box 25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107</xdr:row>
          <xdr:rowOff>0</xdr:rowOff>
        </xdr:from>
        <xdr:to>
          <xdr:col>18</xdr:col>
          <xdr:colOff>-703080</xdr:colOff>
          <xdr:row>108</xdr:row>
          <xdr:rowOff>0</xdr:rowOff>
        </xdr:to>
        <xdr:sp>
          <xdr:nvSpPr>
            <xdr:cNvPr id="1109" name="Check Box 25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107</xdr:row>
          <xdr:rowOff>0</xdr:rowOff>
        </xdr:from>
        <xdr:to>
          <xdr:col>18</xdr:col>
          <xdr:colOff>-703080</xdr:colOff>
          <xdr:row>108</xdr:row>
          <xdr:rowOff>0</xdr:rowOff>
        </xdr:to>
        <xdr:sp>
          <xdr:nvSpPr>
            <xdr:cNvPr id="1110" name="Check Box 26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107</xdr:row>
          <xdr:rowOff>0</xdr:rowOff>
        </xdr:from>
        <xdr:to>
          <xdr:col>18</xdr:col>
          <xdr:colOff>-703080</xdr:colOff>
          <xdr:row>108</xdr:row>
          <xdr:rowOff>0</xdr:rowOff>
        </xdr:to>
        <xdr:sp>
          <xdr:nvSpPr>
            <xdr:cNvPr id="1111" name="Check Box 26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15840</xdr:colOff>
          <xdr:row>107</xdr:row>
          <xdr:rowOff>23040</xdr:rowOff>
        </xdr:from>
        <xdr:to>
          <xdr:col>18</xdr:col>
          <xdr:colOff>-703080</xdr:colOff>
          <xdr:row>108</xdr:row>
          <xdr:rowOff>23040</xdr:rowOff>
        </xdr:to>
        <xdr:sp>
          <xdr:nvSpPr>
            <xdr:cNvPr id="1112" name="Check Box 26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148320</xdr:colOff>
          <xdr:row>6</xdr:row>
          <xdr:rowOff>328680</xdr:rowOff>
        </xdr:from>
        <xdr:to>
          <xdr:col>14</xdr:col>
          <xdr:colOff>-77040</xdr:colOff>
          <xdr:row>7</xdr:row>
          <xdr:rowOff>-89280</xdr:rowOff>
        </xdr:to>
        <xdr:sp>
          <xdr:nvSpPr>
            <xdr:cNvPr id="1113" name="Check Box 363" descr="ไม่ยินยอมบันทึกรายได้ผู้ผ่านการฝึก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ไม่ยินยอมบันทึกรายได้ผู้ผ่านการฝึก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<Relationship Id="rId5" Type="http://schemas.openxmlformats.org/officeDocument/2006/relationships/ctrlProp" Target="../ctrlProps/ctrlProps4.xml"/><Relationship Id="rId6" Type="http://schemas.openxmlformats.org/officeDocument/2006/relationships/ctrlProp" Target="../ctrlProps/ctrlProps5.xml"/><Relationship Id="rId7" Type="http://schemas.openxmlformats.org/officeDocument/2006/relationships/ctrlProp" Target="../ctrlProps/ctrlProps6.xml"/><Relationship Id="rId8" Type="http://schemas.openxmlformats.org/officeDocument/2006/relationships/ctrlProp" Target="../ctrlProps/ctrlProps7.xml"/><Relationship Id="rId9" Type="http://schemas.openxmlformats.org/officeDocument/2006/relationships/ctrlProp" Target="../ctrlProps/ctrlProps8.xml"/><Relationship Id="rId10" Type="http://schemas.openxmlformats.org/officeDocument/2006/relationships/ctrlProp" Target="../ctrlProps/ctrlProps9.xml"/><Relationship Id="rId11" Type="http://schemas.openxmlformats.org/officeDocument/2006/relationships/ctrlProp" Target="../ctrlProps/ctrlProps10.xml"/><Relationship Id="rId12" Type="http://schemas.openxmlformats.org/officeDocument/2006/relationships/ctrlProp" Target="../ctrlProps/ctrlProps11.xml"/><Relationship Id="rId13" Type="http://schemas.openxmlformats.org/officeDocument/2006/relationships/ctrlProp" Target="../ctrlProps/ctrlProps12.xml"/><Relationship Id="rId14" Type="http://schemas.openxmlformats.org/officeDocument/2006/relationships/ctrlProp" Target="../ctrlProps/ctrlProps13.xml"/><Relationship Id="rId15" Type="http://schemas.openxmlformats.org/officeDocument/2006/relationships/ctrlProp" Target="../ctrlProps/ctrlProps14.xml"/><Relationship Id="rId16" Type="http://schemas.openxmlformats.org/officeDocument/2006/relationships/ctrlProp" Target="../ctrlProps/ctrlProps15.xml"/><Relationship Id="rId17" Type="http://schemas.openxmlformats.org/officeDocument/2006/relationships/ctrlProp" Target="../ctrlProps/ctrlProps16.xml"/><Relationship Id="rId18" Type="http://schemas.openxmlformats.org/officeDocument/2006/relationships/ctrlProp" Target="../ctrlProps/ctrlProps17.xml"/><Relationship Id="rId19" Type="http://schemas.openxmlformats.org/officeDocument/2006/relationships/ctrlProp" Target="../ctrlProps/ctrlProps18.xml"/><Relationship Id="rId20" Type="http://schemas.openxmlformats.org/officeDocument/2006/relationships/ctrlProp" Target="../ctrlProps/ctrlProps19.xml"/><Relationship Id="rId21" Type="http://schemas.openxmlformats.org/officeDocument/2006/relationships/ctrlProp" Target="../ctrlProps/ctrlProps20.xml"/><Relationship Id="rId22" Type="http://schemas.openxmlformats.org/officeDocument/2006/relationships/ctrlProp" Target="../ctrlProps/ctrlProps21.xml"/><Relationship Id="rId23" Type="http://schemas.openxmlformats.org/officeDocument/2006/relationships/ctrlProp" Target="../ctrlProps/ctrlProps22.xml"/><Relationship Id="rId24" Type="http://schemas.openxmlformats.org/officeDocument/2006/relationships/ctrlProp" Target="../ctrlProps/ctrlProps23.xml"/><Relationship Id="rId25" Type="http://schemas.openxmlformats.org/officeDocument/2006/relationships/ctrlProp" Target="../ctrlProps/ctrlProps24.xml"/><Relationship Id="rId26" Type="http://schemas.openxmlformats.org/officeDocument/2006/relationships/ctrlProp" Target="../ctrlProps/ctrlProps25.xml"/><Relationship Id="rId27" Type="http://schemas.openxmlformats.org/officeDocument/2006/relationships/ctrlProp" Target="../ctrlProps/ctrlProps26.xml"/><Relationship Id="rId28" Type="http://schemas.openxmlformats.org/officeDocument/2006/relationships/ctrlProp" Target="../ctrlProps/ctrlProps27.xml"/><Relationship Id="rId29" Type="http://schemas.openxmlformats.org/officeDocument/2006/relationships/ctrlProp" Target="../ctrlProps/ctrlProps28.xml"/><Relationship Id="rId30" Type="http://schemas.openxmlformats.org/officeDocument/2006/relationships/ctrlProp" Target="../ctrlProps/ctrlProps29.xml"/><Relationship Id="rId31" Type="http://schemas.openxmlformats.org/officeDocument/2006/relationships/ctrlProp" Target="../ctrlProps/ctrlProps30.xml"/><Relationship Id="rId32" Type="http://schemas.openxmlformats.org/officeDocument/2006/relationships/ctrlProp" Target="../ctrlProps/ctrlProps31.xml"/><Relationship Id="rId33" Type="http://schemas.openxmlformats.org/officeDocument/2006/relationships/ctrlProp" Target="../ctrlProps/ctrlProps32.xml"/><Relationship Id="rId34" Type="http://schemas.openxmlformats.org/officeDocument/2006/relationships/ctrlProp" Target="../ctrlProps/ctrlProps33.xml"/><Relationship Id="rId35" Type="http://schemas.openxmlformats.org/officeDocument/2006/relationships/ctrlProp" Target="../ctrlProps/ctrlProps34.xml"/><Relationship Id="rId36" Type="http://schemas.openxmlformats.org/officeDocument/2006/relationships/ctrlProp" Target="../ctrlProps/ctrlProps35.xml"/><Relationship Id="rId37" Type="http://schemas.openxmlformats.org/officeDocument/2006/relationships/ctrlProp" Target="../ctrlProps/ctrlProps36.xml"/><Relationship Id="rId38" Type="http://schemas.openxmlformats.org/officeDocument/2006/relationships/ctrlProp" Target="../ctrlProps/ctrlProps37.xml"/><Relationship Id="rId39" Type="http://schemas.openxmlformats.org/officeDocument/2006/relationships/ctrlProp" Target="../ctrlProps/ctrlProps38.xml"/><Relationship Id="rId40" Type="http://schemas.openxmlformats.org/officeDocument/2006/relationships/ctrlProp" Target="../ctrlProps/ctrlProps39.xml"/><Relationship Id="rId41" Type="http://schemas.openxmlformats.org/officeDocument/2006/relationships/ctrlProp" Target="../ctrlProps/ctrlProps40.xml"/><Relationship Id="rId42" Type="http://schemas.openxmlformats.org/officeDocument/2006/relationships/ctrlProp" Target="../ctrlProps/ctrlProps41.xml"/><Relationship Id="rId43" Type="http://schemas.openxmlformats.org/officeDocument/2006/relationships/ctrlProp" Target="../ctrlProps/ctrlProps42.xml"/><Relationship Id="rId44" Type="http://schemas.openxmlformats.org/officeDocument/2006/relationships/ctrlProp" Target="../ctrlProps/ctrlProps43.xml"/><Relationship Id="rId45" Type="http://schemas.openxmlformats.org/officeDocument/2006/relationships/ctrlProp" Target="../ctrlProps/ctrlProps44.xml"/><Relationship Id="rId46" Type="http://schemas.openxmlformats.org/officeDocument/2006/relationships/ctrlProp" Target="../ctrlProps/ctrlProps45.xml"/><Relationship Id="rId47" Type="http://schemas.openxmlformats.org/officeDocument/2006/relationships/ctrlProp" Target="../ctrlProps/ctrlProps46.xml"/><Relationship Id="rId48" Type="http://schemas.openxmlformats.org/officeDocument/2006/relationships/ctrlProp" Target="../ctrlProps/ctrlProps47.xml"/><Relationship Id="rId49" Type="http://schemas.openxmlformats.org/officeDocument/2006/relationships/ctrlProp" Target="../ctrlProps/ctrlProps48.xml"/><Relationship Id="rId50" Type="http://schemas.openxmlformats.org/officeDocument/2006/relationships/ctrlProp" Target="../ctrlProps/ctrlProps49.xml"/><Relationship Id="rId51" Type="http://schemas.openxmlformats.org/officeDocument/2006/relationships/ctrlProp" Target="../ctrlProps/ctrlProps50.xml"/><Relationship Id="rId52" Type="http://schemas.openxmlformats.org/officeDocument/2006/relationships/ctrlProp" Target="../ctrlProps/ctrlProps51.xml"/><Relationship Id="rId53" Type="http://schemas.openxmlformats.org/officeDocument/2006/relationships/ctrlProp" Target="../ctrlProps/ctrlProps52.xml"/><Relationship Id="rId54" Type="http://schemas.openxmlformats.org/officeDocument/2006/relationships/ctrlProp" Target="../ctrlProps/ctrlProps53.xml"/><Relationship Id="rId55" Type="http://schemas.openxmlformats.org/officeDocument/2006/relationships/ctrlProp" Target="../ctrlProps/ctrlProps54.xml"/><Relationship Id="rId56" Type="http://schemas.openxmlformats.org/officeDocument/2006/relationships/ctrlProp" Target="../ctrlProps/ctrlProps55.xml"/><Relationship Id="rId57" Type="http://schemas.openxmlformats.org/officeDocument/2006/relationships/ctrlProp" Target="../ctrlProps/ctrlProps56.xml"/><Relationship Id="rId58" Type="http://schemas.openxmlformats.org/officeDocument/2006/relationships/ctrlProp" Target="../ctrlProps/ctrlProps57.xml"/><Relationship Id="rId59" Type="http://schemas.openxmlformats.org/officeDocument/2006/relationships/ctrlProp" Target="../ctrlProps/ctrlProps58.xml"/><Relationship Id="rId60" Type="http://schemas.openxmlformats.org/officeDocument/2006/relationships/ctrlProp" Target="../ctrlProps/ctrlProps59.xml"/><Relationship Id="rId61" Type="http://schemas.openxmlformats.org/officeDocument/2006/relationships/ctrlProp" Target="../ctrlProps/ctrlProps60.xml"/><Relationship Id="rId62" Type="http://schemas.openxmlformats.org/officeDocument/2006/relationships/ctrlProp" Target="../ctrlProps/ctrlProps61.xml"/><Relationship Id="rId63" Type="http://schemas.openxmlformats.org/officeDocument/2006/relationships/ctrlProp" Target="../ctrlProps/ctrlProps62.xml"/><Relationship Id="rId64" Type="http://schemas.openxmlformats.org/officeDocument/2006/relationships/ctrlProp" Target="../ctrlProps/ctrlProps63.xml"/><Relationship Id="rId65" Type="http://schemas.openxmlformats.org/officeDocument/2006/relationships/ctrlProp" Target="../ctrlProps/ctrlProps64.xml"/><Relationship Id="rId66" Type="http://schemas.openxmlformats.org/officeDocument/2006/relationships/ctrlProp" Target="../ctrlProps/ctrlProps65.xml"/><Relationship Id="rId67" Type="http://schemas.openxmlformats.org/officeDocument/2006/relationships/ctrlProp" Target="../ctrlProps/ctrlProps66.xml"/><Relationship Id="rId68" Type="http://schemas.openxmlformats.org/officeDocument/2006/relationships/ctrlProp" Target="../ctrlProps/ctrlProps67.xml"/><Relationship Id="rId69" Type="http://schemas.openxmlformats.org/officeDocument/2006/relationships/ctrlProp" Target="../ctrlProps/ctrlProps68.xml"/><Relationship Id="rId70" Type="http://schemas.openxmlformats.org/officeDocument/2006/relationships/ctrlProp" Target="../ctrlProps/ctrlProps69.xml"/><Relationship Id="rId71" Type="http://schemas.openxmlformats.org/officeDocument/2006/relationships/ctrlProp" Target="../ctrlProps/ctrlProps70.xml"/><Relationship Id="rId72" Type="http://schemas.openxmlformats.org/officeDocument/2006/relationships/ctrlProp" Target="../ctrlProps/ctrlProps71.xml"/><Relationship Id="rId73" Type="http://schemas.openxmlformats.org/officeDocument/2006/relationships/ctrlProp" Target="../ctrlProps/ctrlProps72.xml"/><Relationship Id="rId74" Type="http://schemas.openxmlformats.org/officeDocument/2006/relationships/ctrlProp" Target="../ctrlProps/ctrlProps73.xml"/><Relationship Id="rId75" Type="http://schemas.openxmlformats.org/officeDocument/2006/relationships/ctrlProp" Target="../ctrlProps/ctrlProps74.xml"/><Relationship Id="rId76" Type="http://schemas.openxmlformats.org/officeDocument/2006/relationships/ctrlProp" Target="../ctrlProps/ctrlProps75.xml"/><Relationship Id="rId77" Type="http://schemas.openxmlformats.org/officeDocument/2006/relationships/ctrlProp" Target="../ctrlProps/ctrlProps76.xml"/><Relationship Id="rId78" Type="http://schemas.openxmlformats.org/officeDocument/2006/relationships/ctrlProp" Target="../ctrlProps/ctrlProps77.xml"/><Relationship Id="rId79" Type="http://schemas.openxmlformats.org/officeDocument/2006/relationships/ctrlProp" Target="../ctrlProps/ctrlProps78.xml"/><Relationship Id="rId80" Type="http://schemas.openxmlformats.org/officeDocument/2006/relationships/ctrlProp" Target="../ctrlProps/ctrlProps79.xml"/><Relationship Id="rId81" Type="http://schemas.openxmlformats.org/officeDocument/2006/relationships/ctrlProp" Target="../ctrlProps/ctrlProps80.xml"/><Relationship Id="rId82" Type="http://schemas.openxmlformats.org/officeDocument/2006/relationships/ctrlProp" Target="../ctrlProps/ctrlProps81.xml"/><Relationship Id="rId83" Type="http://schemas.openxmlformats.org/officeDocument/2006/relationships/ctrlProp" Target="../ctrlProps/ctrlProps82.xml"/><Relationship Id="rId84" Type="http://schemas.openxmlformats.org/officeDocument/2006/relationships/ctrlProp" Target="../ctrlProps/ctrlProps83.xml"/><Relationship Id="rId85" Type="http://schemas.openxmlformats.org/officeDocument/2006/relationships/ctrlProp" Target="../ctrlProps/ctrlProps84.xml"/><Relationship Id="rId86" Type="http://schemas.openxmlformats.org/officeDocument/2006/relationships/ctrlProp" Target="../ctrlProps/ctrlProps85.xml"/><Relationship Id="rId87" Type="http://schemas.openxmlformats.org/officeDocument/2006/relationships/ctrlProp" Target="../ctrlProps/ctrlProps86.xml"/><Relationship Id="rId88" Type="http://schemas.openxmlformats.org/officeDocument/2006/relationships/ctrlProp" Target="../ctrlProps/ctrlProps87.xml"/><Relationship Id="rId89" Type="http://schemas.openxmlformats.org/officeDocument/2006/relationships/ctrlProp" Target="../ctrlProps/ctrlProps88.xml"/><Relationship Id="rId90" Type="http://schemas.openxmlformats.org/officeDocument/2006/relationships/ctrlProp" Target="../ctrlProps/ctrlProps89.xml"/><Relationship Id="rId91" Type="http://schemas.openxmlformats.org/officeDocument/2006/relationships/ctrlProp" Target="../ctrlProps/ctrlProps90.xml"/><Relationship Id="rId92" Type="http://schemas.openxmlformats.org/officeDocument/2006/relationships/ctrlProp" Target="../ctrlProps/ctrlProps91.xml"/><Relationship Id="rId93" Type="http://schemas.openxmlformats.org/officeDocument/2006/relationships/ctrlProp" Target="../ctrlProps/ctrlProps92.xml"/><Relationship Id="rId94" Type="http://schemas.openxmlformats.org/officeDocument/2006/relationships/ctrlProp" Target="../ctrlProps/ctrlProps93.xml"/><Relationship Id="rId95" Type="http://schemas.openxmlformats.org/officeDocument/2006/relationships/ctrlProp" Target="../ctrlProps/ctrlProps94.xml"/><Relationship Id="rId96" Type="http://schemas.openxmlformats.org/officeDocument/2006/relationships/ctrlProp" Target="../ctrlProps/ctrlProps95.xml"/><Relationship Id="rId97" Type="http://schemas.openxmlformats.org/officeDocument/2006/relationships/ctrlProp" Target="../ctrlProps/ctrlProps96.xml"/><Relationship Id="rId98" Type="http://schemas.openxmlformats.org/officeDocument/2006/relationships/ctrlProp" Target="../ctrlProps/ctrlProps97.xml"/><Relationship Id="rId99" Type="http://schemas.openxmlformats.org/officeDocument/2006/relationships/ctrlProp" Target="../ctrlProps/ctrlProps98.xml"/><Relationship Id="rId100" Type="http://schemas.openxmlformats.org/officeDocument/2006/relationships/ctrlProp" Target="../ctrlProps/ctrlProps99.xml"/><Relationship Id="rId101" Type="http://schemas.openxmlformats.org/officeDocument/2006/relationships/ctrlProp" Target="../ctrlProps/ctrlProps100.xml"/><Relationship Id="rId102" Type="http://schemas.openxmlformats.org/officeDocument/2006/relationships/ctrlProp" Target="../ctrlProps/ctrlProps101.xml"/><Relationship Id="rId103" Type="http://schemas.openxmlformats.org/officeDocument/2006/relationships/ctrlProp" Target="../ctrlProps/ctrlProps102.xml"/><Relationship Id="rId104" Type="http://schemas.openxmlformats.org/officeDocument/2006/relationships/ctrlProp" Target="../ctrlProps/ctrlProps103.xml"/><Relationship Id="rId105" Type="http://schemas.openxmlformats.org/officeDocument/2006/relationships/ctrlProp" Target="../ctrlProps/ctrlProps104.xml"/><Relationship Id="rId106" Type="http://schemas.openxmlformats.org/officeDocument/2006/relationships/ctrlProp" Target="../ctrlProps/ctrlProps105.xml"/><Relationship Id="rId107" Type="http://schemas.openxmlformats.org/officeDocument/2006/relationships/ctrlProp" Target="../ctrlProps/ctrlProps106.xml"/><Relationship Id="rId108" Type="http://schemas.openxmlformats.org/officeDocument/2006/relationships/ctrlProp" Target="../ctrlProps/ctrlProps107.xml"/><Relationship Id="rId109" Type="http://schemas.openxmlformats.org/officeDocument/2006/relationships/ctrlProp" Target="../ctrlProps/ctrlProps108.xml"/><Relationship Id="rId110" Type="http://schemas.openxmlformats.org/officeDocument/2006/relationships/ctrlProp" Target="../ctrlProps/ctrlProps109.xml"/><Relationship Id="rId111" Type="http://schemas.openxmlformats.org/officeDocument/2006/relationships/ctrlProp" Target="../ctrlProps/ctrlProps110.xml"/><Relationship Id="rId112" Type="http://schemas.openxmlformats.org/officeDocument/2006/relationships/ctrlProp" Target="../ctrlProps/ctrlProps111.xml"/><Relationship Id="rId113" Type="http://schemas.openxmlformats.org/officeDocument/2006/relationships/ctrlProp" Target="../ctrlProps/ctrlProps112.xml"/><Relationship Id="rId114" Type="http://schemas.openxmlformats.org/officeDocument/2006/relationships/ctrlProp" Target="../ctrlProps/ctrlProps113.xml"/><Relationship Id="rId115" Type="http://schemas.openxmlformats.org/officeDocument/2006/relationships/ctrlProp" Target="../ctrlProps/ctrlProps1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15625" defaultRowHeight="25.8" customHeight="false" zeroHeight="false" outlineLevelRow="0" outlineLevelCol="0"/>
  <cols>
    <col collapsed="false" customWidth="true" hidden="false" outlineLevel="0" max="1" min="1" style="1" width="5.1"/>
    <col collapsed="false" customWidth="true" hidden="false" outlineLevel="0" max="2" min="2" style="1" width="22.99"/>
    <col collapsed="false" customWidth="false" hidden="false" outlineLevel="0" max="4" min="3" style="1" width="9.1"/>
    <col collapsed="false" customWidth="true" hidden="false" outlineLevel="0" max="5" min="5" style="1" width="10.2"/>
    <col collapsed="false" customWidth="true" hidden="false" outlineLevel="0" max="6" min="6" style="1" width="18.66"/>
    <col collapsed="false" customWidth="true" hidden="false" outlineLevel="0" max="7" min="7" style="1" width="6.77"/>
    <col collapsed="false" customWidth="true" hidden="false" outlineLevel="0" max="8" min="8" style="1" width="4.66"/>
    <col collapsed="false" customWidth="true" hidden="false" outlineLevel="0" max="9" min="9" style="1" width="5.32"/>
    <col collapsed="false" customWidth="true" hidden="false" outlineLevel="0" max="10" min="10" style="1" width="5.77"/>
    <col collapsed="false" customWidth="true" hidden="false" outlineLevel="0" max="11" min="11" style="1" width="4.66"/>
    <col collapsed="false" customWidth="true" hidden="false" outlineLevel="0" max="12" min="12" style="1" width="7.32"/>
    <col collapsed="false" customWidth="true" hidden="false" outlineLevel="0" max="13" min="13" style="1" width="7.66"/>
    <col collapsed="false" customWidth="true" hidden="false" outlineLevel="0" max="14" min="14" style="1" width="24.77"/>
    <col collapsed="false" customWidth="true" hidden="false" outlineLevel="0" max="15" min="15" style="1" width="18.1"/>
    <col collapsed="false" customWidth="true" hidden="false" outlineLevel="0" max="16" min="16" style="1" width="31.21"/>
    <col collapsed="false" customWidth="true" hidden="false" outlineLevel="0" max="17" min="17" style="1" width="11.77"/>
    <col collapsed="false" customWidth="true" hidden="false" outlineLevel="0" max="18" min="18" style="1" width="14.33"/>
    <col collapsed="false" customWidth="true" hidden="true" outlineLevel="0" max="19" min="19" style="1" width="4.66"/>
    <col collapsed="false" customWidth="true" hidden="true" outlineLevel="0" max="20" min="20" style="1" width="10.32"/>
    <col collapsed="false" customWidth="true" hidden="false" outlineLevel="0" max="21" min="21" style="1" width="11.99"/>
    <col collapsed="false" customWidth="true" hidden="false" outlineLevel="0" max="22" min="22" style="1" width="14.33"/>
    <col collapsed="false" customWidth="false" hidden="false" outlineLevel="0" max="33" min="23" style="1" width="9.1"/>
    <col collapsed="false" customWidth="false" hidden="true" outlineLevel="0" max="34" min="34" style="1" width="9.1"/>
    <col collapsed="false" customWidth="false" hidden="false" outlineLevel="0" max="257" min="35" style="1" width="9.1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  <c r="R1" s="4"/>
      <c r="U1" s="5" t="s">
        <v>2</v>
      </c>
      <c r="V1" s="5"/>
      <c r="W1" s="5"/>
      <c r="X1" s="5"/>
      <c r="Y1" s="5"/>
      <c r="Z1" s="5"/>
      <c r="AA1" s="5"/>
      <c r="AB1" s="5"/>
      <c r="AC1" s="5"/>
      <c r="AD1" s="5"/>
    </row>
    <row r="2" customFormat="false" ht="26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4"/>
      <c r="U2" s="6"/>
      <c r="V2" s="7"/>
      <c r="W2" s="7"/>
      <c r="X2" s="7"/>
      <c r="Y2" s="7"/>
      <c r="Z2" s="7"/>
      <c r="AA2" s="7"/>
      <c r="AB2" s="5"/>
      <c r="AC2" s="5"/>
      <c r="AD2" s="5"/>
    </row>
    <row r="3" customFormat="false" ht="26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4"/>
      <c r="U3" s="8" t="s">
        <v>3</v>
      </c>
      <c r="V3" s="8"/>
      <c r="W3" s="9" t="s">
        <v>4</v>
      </c>
      <c r="X3" s="9"/>
      <c r="Y3" s="9"/>
      <c r="Z3" s="9"/>
      <c r="AA3" s="9"/>
      <c r="AB3" s="8" t="s">
        <v>5</v>
      </c>
      <c r="AC3" s="10" t="s">
        <v>6</v>
      </c>
      <c r="AD3" s="10" t="s">
        <v>7</v>
      </c>
      <c r="AH3" s="11" t="s">
        <v>8</v>
      </c>
    </row>
    <row r="4" customFormat="false" ht="26.2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3"/>
      <c r="Q4" s="3"/>
      <c r="R4" s="4"/>
      <c r="U4" s="8"/>
      <c r="V4" s="8"/>
      <c r="W4" s="12" t="n">
        <v>1</v>
      </c>
      <c r="X4" s="12" t="n">
        <v>2</v>
      </c>
      <c r="Y4" s="12" t="n">
        <v>3</v>
      </c>
      <c r="Z4" s="12" t="n">
        <v>4</v>
      </c>
      <c r="AA4" s="12" t="n">
        <v>5</v>
      </c>
      <c r="AB4" s="8"/>
      <c r="AC4" s="10"/>
      <c r="AD4" s="10"/>
      <c r="AH4" s="11" t="s">
        <v>9</v>
      </c>
    </row>
    <row r="5" customFormat="false" ht="49.2" hidden="false" customHeight="true" outlineLevel="0" collapsed="false">
      <c r="A5" s="13" t="s">
        <v>10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/>
      <c r="P5" s="14"/>
      <c r="Q5" s="14"/>
      <c r="R5" s="14"/>
      <c r="U5" s="15" t="s">
        <v>11</v>
      </c>
      <c r="V5" s="15"/>
      <c r="W5" s="16" t="e">
        <f aca="false">INDEX(B8:P107,MATCH(U5,P8:P107,0),6)</f>
        <v>#N/A</v>
      </c>
      <c r="X5" s="16" t="e">
        <f aca="false">INDEX(B8:P107,MATCH(U5,P8:P107,0),7)</f>
        <v>#N/A</v>
      </c>
      <c r="Y5" s="16" t="e">
        <f aca="false">INDEX(B8:P107,MATCH(U5,P8:P107,0),8)</f>
        <v>#N/A</v>
      </c>
      <c r="Z5" s="16" t="e">
        <f aca="false">INDEX(B8:P107,MATCH(U5,P8:P107,0),9)</f>
        <v>#N/A</v>
      </c>
      <c r="AA5" s="16" t="e">
        <f aca="false">INDEX(B8:P107,MATCH(U5,P8:P107,0),10)</f>
        <v>#N/A</v>
      </c>
      <c r="AB5" s="16" t="e">
        <f aca="false">INDEX(B8:P107,MATCH(U5,P8:P107,0),11)</f>
        <v>#N/A</v>
      </c>
      <c r="AC5" s="16" t="e">
        <f aca="false">INDEX(B8:P107,MATCH(U5,P8:P107,0),12)</f>
        <v>#N/A</v>
      </c>
      <c r="AD5" s="16" t="e">
        <f aca="false">INDEX(B8:P107,MATCH(U5,P8:P107,0),13)</f>
        <v>#N/A</v>
      </c>
      <c r="AH5" s="11" t="s">
        <v>12</v>
      </c>
    </row>
    <row r="6" customFormat="false" ht="26.25" hidden="false" customHeight="true" outlineLevel="0" collapsed="false">
      <c r="A6" s="17" t="s">
        <v>13</v>
      </c>
      <c r="B6" s="18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20" t="s">
        <v>4</v>
      </c>
      <c r="H6" s="20"/>
      <c r="I6" s="20"/>
      <c r="J6" s="20"/>
      <c r="K6" s="20"/>
      <c r="L6" s="21" t="s">
        <v>6</v>
      </c>
      <c r="M6" s="21" t="s">
        <v>7</v>
      </c>
      <c r="N6" s="21" t="s">
        <v>19</v>
      </c>
      <c r="O6" s="22" t="s">
        <v>20</v>
      </c>
      <c r="P6" s="22" t="s">
        <v>3</v>
      </c>
      <c r="Q6" s="22" t="s">
        <v>21</v>
      </c>
      <c r="R6" s="22" t="s">
        <v>22</v>
      </c>
      <c r="S6" s="23"/>
      <c r="T6" s="23"/>
      <c r="U6" s="24"/>
      <c r="V6" s="25"/>
      <c r="W6" s="25"/>
      <c r="X6" s="25"/>
      <c r="Y6" s="25"/>
      <c r="Z6" s="25"/>
      <c r="AA6" s="25"/>
      <c r="AB6" s="25"/>
      <c r="AC6" s="25"/>
      <c r="AD6" s="23"/>
      <c r="AE6" s="23"/>
      <c r="AF6" s="23"/>
      <c r="AG6" s="23"/>
      <c r="AH6" s="11" t="s">
        <v>23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</row>
    <row r="7" customFormat="false" ht="72" hidden="false" customHeight="true" outlineLevel="0" collapsed="false">
      <c r="A7" s="17"/>
      <c r="B7" s="18"/>
      <c r="C7" s="19"/>
      <c r="D7" s="19"/>
      <c r="E7" s="19"/>
      <c r="F7" s="19"/>
      <c r="G7" s="26" t="s">
        <v>24</v>
      </c>
      <c r="H7" s="26" t="s">
        <v>25</v>
      </c>
      <c r="I7" s="27" t="s">
        <v>26</v>
      </c>
      <c r="J7" s="27" t="s">
        <v>27</v>
      </c>
      <c r="K7" s="27" t="s">
        <v>28</v>
      </c>
      <c r="L7" s="21"/>
      <c r="M7" s="21"/>
      <c r="N7" s="21"/>
      <c r="O7" s="22"/>
      <c r="P7" s="22"/>
      <c r="Q7" s="22"/>
      <c r="R7" s="22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11" t="s">
        <v>29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</row>
    <row r="8" customFormat="false" ht="31.5" hidden="false" customHeight="true" outlineLevel="0" collapsed="false">
      <c r="A8" s="28" t="n">
        <v>1</v>
      </c>
      <c r="B8" s="29" t="n">
        <v>999999999</v>
      </c>
      <c r="C8" s="30" t="s">
        <v>30</v>
      </c>
      <c r="D8" s="30" t="s">
        <v>31</v>
      </c>
      <c r="E8" s="31" t="s">
        <v>32</v>
      </c>
      <c r="F8" s="31" t="s">
        <v>33</v>
      </c>
      <c r="G8" s="32" t="n">
        <v>1</v>
      </c>
      <c r="H8" s="32" t="n">
        <v>1</v>
      </c>
      <c r="I8" s="33" t="n">
        <v>1</v>
      </c>
      <c r="J8" s="33" t="n">
        <v>1</v>
      </c>
      <c r="K8" s="33" t="n">
        <v>0</v>
      </c>
      <c r="L8" s="34" t="str">
        <f aca="false">IF(ISBLANK(B8),"",IF(SUM(G8:K8)&gt;0,"เพิ่มขึ้น","คงเดิม"))</f>
        <v>เพิ่มขึ้น</v>
      </c>
      <c r="M8" s="34" t="str">
        <f aca="false">IF(ISBLANK(B8),"",IF(OR(H8&gt;0,J8&gt;0),"เพิ่มขึ้น","คงเดิม"))</f>
        <v>เพิ่มขึ้น</v>
      </c>
      <c r="N8" s="35" t="s">
        <v>34</v>
      </c>
      <c r="O8" s="36" t="str">
        <f aca="false">IF(ISBLANK(B8),"",IF(LEN(B8)=13,IF(RIGHT(11-MOD(MID(B8,1,1)*13+MID(B8,2,1)*12+MID(B8,3,1)*11+MID(B8,4,1)*10+MID(B8,5,1)*9+MID(B8,6,1)*8+MID(B8,7,1)*7+MID(B8,8,1)*6+MID(B8,9,1)*5+MID(B8,10,1)*4+MID(B8,11,1)*3+MID(B8,12,1)*2,11))=RIGHT(B8),"ถูกต้อง","ผิด "),"ไม่ครบ13หลัก"))</f>
        <v>ไม่ครบ13หลัก</v>
      </c>
      <c r="P8" s="34" t="str">
        <f aca="false">CONCATENATE(D8," ",E8)</f>
        <v>เสริฐสินธ์ ธัญญรังสิกุล</v>
      </c>
      <c r="Q8" s="34"/>
      <c r="R8" s="37"/>
      <c r="AH8" s="11" t="s">
        <v>35</v>
      </c>
    </row>
    <row r="9" customFormat="false" ht="26.25" hidden="false" customHeight="true" outlineLevel="0" collapsed="false">
      <c r="A9" s="28" t="n">
        <v>2</v>
      </c>
      <c r="B9" s="29" t="n">
        <v>123232323233</v>
      </c>
      <c r="C9" s="30" t="s">
        <v>30</v>
      </c>
      <c r="D9" s="38" t="s">
        <v>36</v>
      </c>
      <c r="E9" s="39" t="s">
        <v>37</v>
      </c>
      <c r="F9" s="31" t="s">
        <v>38</v>
      </c>
      <c r="G9" s="32" t="n">
        <v>0</v>
      </c>
      <c r="H9" s="32" t="n">
        <v>1</v>
      </c>
      <c r="I9" s="33" t="n">
        <v>0</v>
      </c>
      <c r="J9" s="33" t="n">
        <v>1</v>
      </c>
      <c r="K9" s="33" t="n">
        <v>0</v>
      </c>
      <c r="L9" s="34" t="str">
        <f aca="false">IF(ISBLANK(B9),"",IF(SUM(G9:K9)&gt;0,"เพิ่มขึ้น","คงเดิม"))</f>
        <v>เพิ่มขึ้น</v>
      </c>
      <c r="M9" s="34" t="str">
        <f aca="false">IF(ISBLANK(B9),"",IF(OR(H9&gt;0,J9&gt;0),"เพิ่มขึ้น","คงเดิม"))</f>
        <v>เพิ่มขึ้น</v>
      </c>
      <c r="N9" s="35" t="s">
        <v>34</v>
      </c>
      <c r="O9" s="34" t="str">
        <f aca="false">IF(ISBLANK(B9),"",IF(LEN(B9)=13,IF(RIGHT(11-MOD(MID(B9,1,1)*13+MID(B9,2,1)*12+MID(B9,3,1)*11+MID(B9,4,1)*10+MID(B9,5,1)*9+MID(B9,6,1)*8+MID(B9,7,1)*7+MID(B9,8,1)*6+MID(B9,9,1)*5+MID(B9,10,1)*4+MID(B9,11,1)*3+MID(B9,12,1)*2,11))=RIGHT(B9),"ถูกต้อง","ผิด "),"ไม่ครบ13หลัก"))</f>
        <v>ไม่ครบ13หลัก</v>
      </c>
      <c r="P9" s="34" t="str">
        <f aca="false">CONCATENATE(D9," ",E9)</f>
        <v>โกสินทร์ วุฒิเจริญวงศ์</v>
      </c>
      <c r="Q9" s="34"/>
      <c r="R9" s="37"/>
      <c r="AH9" s="11" t="s">
        <v>39</v>
      </c>
    </row>
    <row r="10" customFormat="false" ht="26.25" hidden="false" customHeight="true" outlineLevel="0" collapsed="false">
      <c r="A10" s="28" t="n">
        <v>3</v>
      </c>
      <c r="B10" s="40" t="n">
        <v>6565656565656</v>
      </c>
      <c r="C10" s="30" t="s">
        <v>40</v>
      </c>
      <c r="D10" s="38" t="s">
        <v>41</v>
      </c>
      <c r="E10" s="39" t="s">
        <v>42</v>
      </c>
      <c r="F10" s="31" t="s">
        <v>43</v>
      </c>
      <c r="G10" s="32" t="n">
        <v>0</v>
      </c>
      <c r="H10" s="32" t="n">
        <v>1</v>
      </c>
      <c r="I10" s="33" t="n">
        <v>0</v>
      </c>
      <c r="J10" s="33" t="n">
        <v>1</v>
      </c>
      <c r="K10" s="33" t="n">
        <v>0</v>
      </c>
      <c r="L10" s="34" t="str">
        <f aca="false">IF(ISBLANK(B10),"",IF(SUM(G10:K10)&gt;0,"เพิ่มขึ้น","คงเดิม"))</f>
        <v>เพิ่มขึ้น</v>
      </c>
      <c r="M10" s="34" t="str">
        <f aca="false">IF(ISBLANK(B10),"",IF(OR(H10&gt;0,J10&gt;0),"เพิ่มขึ้น","คงเดิม"))</f>
        <v>เพิ่มขึ้น</v>
      </c>
      <c r="N10" s="35" t="s">
        <v>34</v>
      </c>
      <c r="O10" s="34" t="str">
        <f aca="false">IF(ISBLANK(B10),"",IF(LEN(B10)=13,IF(RIGHT(11-MOD(MID(B10,1,1)*13+MID(B10,2,1)*12+MID(B10,3,1)*11+MID(B10,4,1)*10+MID(B10,5,1)*9+MID(B10,6,1)*8+MID(B10,7,1)*7+MID(B10,8,1)*6+MID(B10,9,1)*5+MID(B10,10,1)*4+MID(B10,11,1)*3+MID(B10,12,1)*2,11))=RIGHT(B10),"ถูกต้อง","ผิด "),"ไม่ครบ13หลัก"))</f>
        <v>ผิด </v>
      </c>
      <c r="P10" s="34" t="str">
        <f aca="false">CONCATENATE(D10," ",E10)</f>
        <v>กันยารัตน์ ดีประเสริฐ</v>
      </c>
      <c r="Q10" s="34"/>
      <c r="R10" s="37"/>
      <c r="AH10" s="11" t="s">
        <v>44</v>
      </c>
    </row>
    <row r="11" customFormat="false" ht="26.25" hidden="false" customHeight="true" outlineLevel="0" collapsed="false">
      <c r="A11" s="28" t="n">
        <v>4</v>
      </c>
      <c r="B11" s="40" t="n">
        <v>777777777</v>
      </c>
      <c r="C11" s="38" t="s">
        <v>30</v>
      </c>
      <c r="D11" s="38" t="s">
        <v>45</v>
      </c>
      <c r="E11" s="39" t="s">
        <v>46</v>
      </c>
      <c r="F11" s="39" t="s">
        <v>47</v>
      </c>
      <c r="G11" s="32" t="n">
        <v>1</v>
      </c>
      <c r="H11" s="32" t="n">
        <v>1</v>
      </c>
      <c r="I11" s="33" t="n">
        <v>2</v>
      </c>
      <c r="J11" s="33" t="n">
        <v>1</v>
      </c>
      <c r="K11" s="33" t="n">
        <v>0</v>
      </c>
      <c r="L11" s="34" t="str">
        <f aca="false">IF(ISBLANK(B11),"",IF(SUM(G11:K11)&gt;0,"เพิ่มขึ้น","คงเดิม"))</f>
        <v>เพิ่มขึ้น</v>
      </c>
      <c r="M11" s="34" t="str">
        <f aca="false">IF(ISBLANK(B11),"",IF(OR(H11&gt;0,J11&gt;0),"เพิ่มขึ้น","คงเดิม"))</f>
        <v>เพิ่มขึ้น</v>
      </c>
      <c r="N11" s="35" t="s">
        <v>48</v>
      </c>
      <c r="O11" s="34" t="str">
        <f aca="false">IF(ISBLANK(B11),"",IF(LEN(B11)=13,IF(RIGHT(11-MOD(MID(B11,1,1)*13+MID(B11,2,1)*12+MID(B11,3,1)*11+MID(B11,4,1)*10+MID(B11,5,1)*9+MID(B11,6,1)*8+MID(B11,7,1)*7+MID(B11,8,1)*6+MID(B11,9,1)*5+MID(B11,10,1)*4+MID(B11,11,1)*3+MID(B11,12,1)*2,11))=RIGHT(B11),"ถูกต้อง","ผิด "),"ไม่ครบ13หลัก"))</f>
        <v>ไม่ครบ13หลัก</v>
      </c>
      <c r="P11" s="34" t="str">
        <f aca="false">CONCATENATE(D11," ",E11)</f>
        <v>จักรกฤษณ์ กำบังกาย</v>
      </c>
      <c r="Q11" s="34"/>
      <c r="R11" s="37"/>
      <c r="AH11" s="11" t="s">
        <v>49</v>
      </c>
    </row>
    <row r="12" customFormat="false" ht="26.25" hidden="false" customHeight="true" outlineLevel="0" collapsed="false">
      <c r="A12" s="28" t="n">
        <v>5</v>
      </c>
      <c r="B12" s="40" t="n">
        <v>88888888</v>
      </c>
      <c r="C12" s="38" t="s">
        <v>30</v>
      </c>
      <c r="D12" s="38" t="s">
        <v>50</v>
      </c>
      <c r="E12" s="39" t="s">
        <v>51</v>
      </c>
      <c r="F12" s="39" t="s">
        <v>33</v>
      </c>
      <c r="G12" s="41" t="n">
        <v>1</v>
      </c>
      <c r="H12" s="41" t="n">
        <v>1</v>
      </c>
      <c r="I12" s="42" t="n">
        <v>2</v>
      </c>
      <c r="J12" s="42" t="n">
        <v>1</v>
      </c>
      <c r="K12" s="42" t="n">
        <v>0</v>
      </c>
      <c r="L12" s="34" t="str">
        <f aca="false">IF(ISBLANK(B12),"",IF(SUM(G12:K12)&gt;0,"เพิ่มขึ้น","คงเดิม"))</f>
        <v>เพิ่มขึ้น</v>
      </c>
      <c r="M12" s="34" t="str">
        <f aca="false">IF(ISBLANK(B12),"",IF(OR(H12&gt;0,J12&gt;0),"เพิ่มขึ้น","คงเดิม"))</f>
        <v>เพิ่มขึ้น</v>
      </c>
      <c r="N12" s="35" t="s">
        <v>52</v>
      </c>
      <c r="O12" s="34" t="str">
        <f aca="false">IF(ISBLANK(B12),"",IF(LEN(B12)=13,IF(RIGHT(11-MOD(MID(B12,1,1)*13+MID(B12,2,1)*12+MID(B12,3,1)*11+MID(B12,4,1)*10+MID(B12,5,1)*9+MID(B12,6,1)*8+MID(B12,7,1)*7+MID(B12,8,1)*6+MID(B12,9,1)*5+MID(B12,10,1)*4+MID(B12,11,1)*3+MID(B12,12,1)*2,11))=RIGHT(B12),"ถูกต้อง","ผิด "),"ไม่ครบ13หลัก"))</f>
        <v>ไม่ครบ13หลัก</v>
      </c>
      <c r="P12" s="34" t="str">
        <f aca="false">CONCATENATE(D12," ",E12)</f>
        <v>ชัยเมศร์ วรสมบูรณ์ไชย</v>
      </c>
      <c r="Q12" s="34"/>
      <c r="R12" s="37"/>
      <c r="AH12" s="11" t="s">
        <v>53</v>
      </c>
    </row>
    <row r="13" customFormat="false" ht="26.25" hidden="false" customHeight="true" outlineLevel="0" collapsed="false">
      <c r="A13" s="28" t="n">
        <v>6</v>
      </c>
      <c r="B13" s="40" t="n">
        <v>999999999</v>
      </c>
      <c r="C13" s="38" t="s">
        <v>40</v>
      </c>
      <c r="D13" s="38" t="s">
        <v>54</v>
      </c>
      <c r="E13" s="39" t="s">
        <v>55</v>
      </c>
      <c r="F13" s="39" t="s">
        <v>56</v>
      </c>
      <c r="G13" s="41" t="n">
        <v>1</v>
      </c>
      <c r="H13" s="41" t="n">
        <v>1</v>
      </c>
      <c r="I13" s="42" t="n">
        <v>1</v>
      </c>
      <c r="J13" s="42" t="n">
        <v>1</v>
      </c>
      <c r="K13" s="42" t="n">
        <v>0</v>
      </c>
      <c r="L13" s="34" t="str">
        <f aca="false">IF(ISBLANK(B13),"",IF(SUM(G13:K13)&gt;0,"เพิ่มขึ้น","คงเดิม"))</f>
        <v>เพิ่มขึ้น</v>
      </c>
      <c r="M13" s="34" t="str">
        <f aca="false">IF(ISBLANK(B13),"",IF(OR(H13&gt;0,J13&gt;0),"เพิ่มขึ้น","คงเดิม"))</f>
        <v>เพิ่มขึ้น</v>
      </c>
      <c r="N13" s="35" t="s">
        <v>48</v>
      </c>
      <c r="O13" s="34" t="str">
        <f aca="false">IF(ISBLANK(B13),"",IF(LEN(B13)=13,IF(RIGHT(11-MOD(MID(B13,1,1)*13+MID(B13,2,1)*12+MID(B13,3,1)*11+MID(B13,4,1)*10+MID(B13,5,1)*9+MID(B13,6,1)*8+MID(B13,7,1)*7+MID(B13,8,1)*6+MID(B13,9,1)*5+MID(B13,10,1)*4+MID(B13,11,1)*3+MID(B13,12,1)*2,11))=RIGHT(B13),"ถูกต้อง","ผิด "),"ไม่ครบ13หลัก"))</f>
        <v>ไม่ครบ13หลัก</v>
      </c>
      <c r="P13" s="34" t="str">
        <f aca="false">CONCATENATE(D13," ",E13)</f>
        <v>ฐายิกา ทัศนีย์</v>
      </c>
      <c r="Q13" s="34"/>
      <c r="R13" s="37"/>
      <c r="AH13" s="11" t="s">
        <v>57</v>
      </c>
    </row>
    <row r="14" customFormat="false" ht="26.25" hidden="false" customHeight="true" outlineLevel="0" collapsed="false">
      <c r="A14" s="28" t="n">
        <v>7</v>
      </c>
      <c r="B14" s="40"/>
      <c r="C14" s="38" t="s">
        <v>30</v>
      </c>
      <c r="D14" s="38" t="s">
        <v>58</v>
      </c>
      <c r="E14" s="39" t="s">
        <v>59</v>
      </c>
      <c r="F14" s="39" t="s">
        <v>60</v>
      </c>
      <c r="G14" s="41" t="n">
        <v>1</v>
      </c>
      <c r="H14" s="41" t="n">
        <v>2</v>
      </c>
      <c r="I14" s="42" t="n">
        <v>1</v>
      </c>
      <c r="J14" s="42" t="n">
        <v>1</v>
      </c>
      <c r="K14" s="42" t="n">
        <v>0</v>
      </c>
      <c r="L14" s="34" t="str">
        <f aca="false">IF(ISBLANK(B14),"",IF(SUM(G14:K14)&gt;0,"เพิ่มขึ้น","คงเดิม"))</f>
        <v/>
      </c>
      <c r="M14" s="34" t="str">
        <f aca="false">IF(ISBLANK(B14),"",IF(OR(H14&gt;0,J14&gt;0),"เพิ่มขึ้น","คงเดิม"))</f>
        <v/>
      </c>
      <c r="N14" s="35"/>
      <c r="O14" s="34" t="str">
        <f aca="false">IF(ISBLANK(B14),"",IF(LEN(B14)=13,IF(RIGHT(11-MOD(MID(B14,1,1)*13+MID(B14,2,1)*12+MID(B14,3,1)*11+MID(B14,4,1)*10+MID(B14,5,1)*9+MID(B14,6,1)*8+MID(B14,7,1)*7+MID(B14,8,1)*6+MID(B14,9,1)*5+MID(B14,10,1)*4+MID(B14,11,1)*3+MID(B14,12,1)*2,11))=RIGHT(B14),"ถูกต้อง","ผิด "),"ไม่ครบ13หลัก"))</f>
        <v/>
      </c>
      <c r="P14" s="34" t="str">
        <f aca="false">CONCATENATE(D14," ",E14)</f>
        <v>ณัฐณิชา สมพานต์</v>
      </c>
      <c r="Q14" s="34"/>
      <c r="R14" s="37"/>
      <c r="AH14" s="11" t="s">
        <v>61</v>
      </c>
    </row>
    <row r="15" customFormat="false" ht="26.25" hidden="false" customHeight="true" outlineLevel="0" collapsed="false">
      <c r="A15" s="28" t="n">
        <v>8</v>
      </c>
      <c r="B15" s="40"/>
      <c r="C15" s="38" t="s">
        <v>30</v>
      </c>
      <c r="D15" s="38" t="s">
        <v>62</v>
      </c>
      <c r="E15" s="39" t="s">
        <v>63</v>
      </c>
      <c r="F15" s="39" t="s">
        <v>64</v>
      </c>
      <c r="G15" s="41" t="n">
        <v>1</v>
      </c>
      <c r="H15" s="41" t="n">
        <v>1</v>
      </c>
      <c r="I15" s="42" t="n">
        <v>1</v>
      </c>
      <c r="J15" s="42" t="n">
        <v>1</v>
      </c>
      <c r="K15" s="42" t="n">
        <v>0</v>
      </c>
      <c r="L15" s="34" t="str">
        <f aca="false">IF(ISBLANK(B15),"",IF(SUM(G15:K15)&gt;0,"เพิ่มขึ้น","คงเดิม"))</f>
        <v/>
      </c>
      <c r="M15" s="34" t="str">
        <f aca="false">IF(ISBLANK(B15),"",IF(OR(H15&gt;0,J15&gt;0),"เพิ่มขึ้น","คงเดิม"))</f>
        <v/>
      </c>
      <c r="N15" s="35"/>
      <c r="O15" s="34" t="str">
        <f aca="false">IF(ISBLANK(B15),"",IF(LEN(B15)=13,IF(RIGHT(11-MOD(MID(B15,1,1)*13+MID(B15,2,1)*12+MID(B15,3,1)*11+MID(B15,4,1)*10+MID(B15,5,1)*9+MID(B15,6,1)*8+MID(B15,7,1)*7+MID(B15,8,1)*6+MID(B15,9,1)*5+MID(B15,10,1)*4+MID(B15,11,1)*3+MID(B15,12,1)*2,11))=RIGHT(B15),"ถูกต้อง","ผิด "),"ไม่ครบ13หลัก"))</f>
        <v/>
      </c>
      <c r="P15" s="34" t="str">
        <f aca="false">CONCATENATE(D15," ",E15)</f>
        <v>ณัฐพัฒน์ สุขใส</v>
      </c>
      <c r="Q15" s="34"/>
      <c r="R15" s="37"/>
      <c r="AE15" s="43"/>
      <c r="AF15" s="44"/>
      <c r="AH15" s="11" t="s">
        <v>65</v>
      </c>
    </row>
    <row r="16" customFormat="false" ht="26.25" hidden="false" customHeight="true" outlineLevel="0" collapsed="false">
      <c r="A16" s="28" t="n">
        <v>9</v>
      </c>
      <c r="B16" s="40"/>
      <c r="C16" s="38" t="s">
        <v>40</v>
      </c>
      <c r="D16" s="38" t="s">
        <v>66</v>
      </c>
      <c r="E16" s="39" t="s">
        <v>67</v>
      </c>
      <c r="F16" s="39" t="s">
        <v>68</v>
      </c>
      <c r="G16" s="41" t="n">
        <v>1</v>
      </c>
      <c r="H16" s="41" t="n">
        <v>1</v>
      </c>
      <c r="I16" s="42" t="n">
        <v>1</v>
      </c>
      <c r="J16" s="42" t="n">
        <v>1</v>
      </c>
      <c r="K16" s="42" t="n">
        <v>0</v>
      </c>
      <c r="L16" s="34" t="str">
        <f aca="false">IF(ISBLANK(B16),"",IF(SUM(G16:K16)&gt;0,"เพิ่มขึ้น","คงเดิม"))</f>
        <v/>
      </c>
      <c r="M16" s="34" t="str">
        <f aca="false">IF(ISBLANK(B16),"",IF(OR(H16&gt;0,J16&gt;0),"เพิ่มขึ้น","คงเดิม"))</f>
        <v/>
      </c>
      <c r="N16" s="35"/>
      <c r="O16" s="34" t="str">
        <f aca="false">IF(ISBLANK(B16),"",IF(LEN(B16)=13,IF(RIGHT(11-MOD(MID(B16,1,1)*13+MID(B16,2,1)*12+MID(B16,3,1)*11+MID(B16,4,1)*10+MID(B16,5,1)*9+MID(B16,6,1)*8+MID(B16,7,1)*7+MID(B16,8,1)*6+MID(B16,9,1)*5+MID(B16,10,1)*4+MID(B16,11,1)*3+MID(B16,12,1)*2,11))=RIGHT(B16),"ถูกต้อง","ผิด "),"ไม่ครบ13หลัก"))</f>
        <v/>
      </c>
      <c r="P16" s="34" t="str">
        <f aca="false">CONCATENATE(D16," ",E16)</f>
        <v>ดีลยา รุจิรอานนท์</v>
      </c>
      <c r="Q16" s="34"/>
      <c r="R16" s="37"/>
      <c r="U16" s="45" t="s">
        <v>69</v>
      </c>
      <c r="V16" s="45"/>
      <c r="W16" s="45"/>
      <c r="X16" s="45"/>
      <c r="Y16" s="45"/>
      <c r="Z16" s="45"/>
      <c r="AA16" s="45"/>
      <c r="AB16" s="45"/>
      <c r="AC16" s="45"/>
      <c r="AD16" s="45"/>
      <c r="AE16" s="43"/>
      <c r="AF16" s="44"/>
      <c r="AH16" s="11" t="s">
        <v>70</v>
      </c>
    </row>
    <row r="17" customFormat="false" ht="26.25" hidden="false" customHeight="true" outlineLevel="0" collapsed="false">
      <c r="A17" s="28" t="n">
        <v>10</v>
      </c>
      <c r="B17" s="40"/>
      <c r="C17" s="38" t="s">
        <v>40</v>
      </c>
      <c r="D17" s="38" t="s">
        <v>71</v>
      </c>
      <c r="E17" s="39" t="s">
        <v>72</v>
      </c>
      <c r="F17" s="39" t="s">
        <v>73</v>
      </c>
      <c r="G17" s="41" t="n">
        <v>1</v>
      </c>
      <c r="H17" s="41" t="n">
        <v>1</v>
      </c>
      <c r="I17" s="42" t="n">
        <v>1</v>
      </c>
      <c r="J17" s="42" t="n">
        <v>1</v>
      </c>
      <c r="K17" s="42" t="n">
        <v>0</v>
      </c>
      <c r="L17" s="34" t="str">
        <f aca="false">IF(ISBLANK(B17),"",IF(SUM(G17:K17)&gt;0,"เพิ่มขึ้น","คงเดิม"))</f>
        <v/>
      </c>
      <c r="M17" s="34" t="str">
        <f aca="false">IF(ISBLANK(B17),"",IF(OR(H17&gt;0,J17&gt;0),"เพิ่มขึ้น","คงเดิม"))</f>
        <v/>
      </c>
      <c r="N17" s="35"/>
      <c r="O17" s="34" t="str">
        <f aca="false">IF(ISBLANK(B17),"",IF(LEN(B17)=13,IF(RIGHT(11-MOD(MID(B17,1,1)*13+MID(B17,2,1)*12+MID(B17,3,1)*11+MID(B17,4,1)*10+MID(B17,5,1)*9+MID(B17,6,1)*8+MID(B17,7,1)*7+MID(B17,8,1)*6+MID(B17,9,1)*5+MID(B17,10,1)*4+MID(B17,11,1)*3+MID(B17,12,1)*2,11))=RIGHT(B17),"ถูกต้อง","ผิด "),"ไม่ครบ13หลัก"))</f>
        <v/>
      </c>
      <c r="P17" s="34" t="str">
        <f aca="false">CONCATENATE(D17," ",E17)</f>
        <v>ตรีจุฑา สรวงท่าไม้</v>
      </c>
      <c r="Q17" s="34"/>
      <c r="R17" s="37"/>
      <c r="U17" s="46" t="s">
        <v>74</v>
      </c>
      <c r="V17" s="46"/>
      <c r="W17" s="46"/>
      <c r="X17" s="46"/>
      <c r="Y17" s="46"/>
      <c r="Z17" s="46"/>
      <c r="AA17" s="46"/>
      <c r="AB17" s="46" t="s">
        <v>75</v>
      </c>
      <c r="AC17" s="47" t="n">
        <f aca="false">COUNTA(C8:C107)</f>
        <v>29</v>
      </c>
      <c r="AD17" s="46" t="s">
        <v>76</v>
      </c>
      <c r="AH17" s="11" t="s">
        <v>77</v>
      </c>
    </row>
    <row r="18" customFormat="false" ht="26.25" hidden="false" customHeight="true" outlineLevel="0" collapsed="false">
      <c r="A18" s="48" t="n">
        <v>11</v>
      </c>
      <c r="B18" s="40"/>
      <c r="C18" s="38" t="s">
        <v>40</v>
      </c>
      <c r="D18" s="38" t="s">
        <v>78</v>
      </c>
      <c r="E18" s="39" t="s">
        <v>79</v>
      </c>
      <c r="F18" s="39" t="s">
        <v>80</v>
      </c>
      <c r="G18" s="41" t="n">
        <v>1</v>
      </c>
      <c r="H18" s="41" t="n">
        <v>1</v>
      </c>
      <c r="I18" s="42" t="n">
        <v>1</v>
      </c>
      <c r="J18" s="42" t="n">
        <v>1</v>
      </c>
      <c r="K18" s="42" t="n">
        <v>0</v>
      </c>
      <c r="L18" s="34" t="str">
        <f aca="false">IF(ISBLANK(B18),"",IF(SUM(G18:K18)&gt;0,"เพิ่มขึ้น","คงเดิม"))</f>
        <v/>
      </c>
      <c r="M18" s="34" t="str">
        <f aca="false">IF(ISBLANK(B18),"",IF(OR(H18&gt;0,J18&gt;0),"เพิ่มขึ้น","คงเดิม"))</f>
        <v/>
      </c>
      <c r="N18" s="35"/>
      <c r="O18" s="34" t="str">
        <f aca="false">IF(ISBLANK(B18),"",IF(LEN(B18)=13,IF(RIGHT(11-MOD(MID(B18,1,1)*13+MID(B18,2,1)*12+MID(B18,3,1)*11+MID(B18,4,1)*10+MID(B18,5,1)*9+MID(B18,6,1)*8+MID(B18,7,1)*7+MID(B18,8,1)*6+MID(B18,9,1)*5+MID(B18,10,1)*4+MID(B18,11,1)*3+MID(B18,12,1)*2,11))=RIGHT(B18),"ถูกต้อง","ผิด "),"ไม่ครบ13หลัก"))</f>
        <v/>
      </c>
      <c r="P18" s="34" t="str">
        <f aca="false">CONCATENATE(D18," ",E18)</f>
        <v>ทิพย์สุดา ปลื้มใจ</v>
      </c>
      <c r="Q18" s="34"/>
      <c r="R18" s="37"/>
      <c r="U18" s="49" t="s">
        <v>81</v>
      </c>
      <c r="V18" s="49"/>
      <c r="W18" s="49"/>
      <c r="X18" s="49"/>
      <c r="Y18" s="49"/>
      <c r="Z18" s="49"/>
      <c r="AA18" s="49"/>
      <c r="AB18" s="49" t="s">
        <v>75</v>
      </c>
      <c r="AC18" s="50" t="n">
        <f aca="false">COUNTIF(L8:L107,"เพิ่มขึ้น")</f>
        <v>6</v>
      </c>
      <c r="AD18" s="49" t="s">
        <v>76</v>
      </c>
      <c r="AH18" s="11" t="s">
        <v>82</v>
      </c>
    </row>
    <row r="19" customFormat="false" ht="26.25" hidden="false" customHeight="true" outlineLevel="0" collapsed="false">
      <c r="A19" s="48" t="n">
        <v>12</v>
      </c>
      <c r="B19" s="40"/>
      <c r="C19" s="38" t="s">
        <v>40</v>
      </c>
      <c r="D19" s="38" t="s">
        <v>83</v>
      </c>
      <c r="E19" s="39" t="s">
        <v>84</v>
      </c>
      <c r="F19" s="39" t="s">
        <v>85</v>
      </c>
      <c r="G19" s="41" t="n">
        <v>1</v>
      </c>
      <c r="H19" s="41" t="n">
        <v>1</v>
      </c>
      <c r="I19" s="42" t="n">
        <v>1</v>
      </c>
      <c r="J19" s="42" t="n">
        <v>1</v>
      </c>
      <c r="K19" s="42" t="n">
        <v>0</v>
      </c>
      <c r="L19" s="34" t="str">
        <f aca="false">IF(ISBLANK(B19),"",IF(SUM(G19:K19)&gt;0,"เพิ่มขึ้น","คงเดิม"))</f>
        <v/>
      </c>
      <c r="M19" s="34" t="str">
        <f aca="false">IF(ISBLANK(B19),"",IF(OR(H19&gt;0,J19&gt;0),"เพิ่มขึ้น","คงเดิม"))</f>
        <v/>
      </c>
      <c r="N19" s="35"/>
      <c r="O19" s="34" t="str">
        <f aca="false">IF(ISBLANK(B19),"",IF(LEN(B19)=13,IF(RIGHT(11-MOD(MID(B19,1,1)*13+MID(B19,2,1)*12+MID(B19,3,1)*11+MID(B19,4,1)*10+MID(B19,5,1)*9+MID(B19,6,1)*8+MID(B19,7,1)*7+MID(B19,8,1)*6+MID(B19,9,1)*5+MID(B19,10,1)*4+MID(B19,11,1)*3+MID(B19,12,1)*2,11))=RIGHT(B19),"ถูกต้อง","ผิด "),"ไม่ครบ13หลัก"))</f>
        <v/>
      </c>
      <c r="P19" s="34" t="str">
        <f aca="false">CONCATENATE(D19," ",E19)</f>
        <v>ธนภัค เต๊ะชัย</v>
      </c>
      <c r="Q19" s="34"/>
      <c r="R19" s="37"/>
      <c r="U19" s="49" t="s">
        <v>86</v>
      </c>
      <c r="V19" s="49"/>
      <c r="W19" s="49"/>
      <c r="X19" s="49"/>
      <c r="Y19" s="49"/>
      <c r="Z19" s="49"/>
      <c r="AA19" s="49"/>
      <c r="AB19" s="49" t="s">
        <v>75</v>
      </c>
      <c r="AC19" s="50" t="n">
        <f aca="false">COUNTIF(M8:M107,"เพิ่มขึ้น")</f>
        <v>6</v>
      </c>
      <c r="AD19" s="49" t="s">
        <v>76</v>
      </c>
      <c r="AH19" s="11" t="s">
        <v>87</v>
      </c>
    </row>
    <row r="20" customFormat="false" ht="26.25" hidden="false" customHeight="true" outlineLevel="0" collapsed="false">
      <c r="A20" s="48" t="n">
        <v>13</v>
      </c>
      <c r="B20" s="40"/>
      <c r="C20" s="38" t="s">
        <v>30</v>
      </c>
      <c r="D20" s="38" t="s">
        <v>88</v>
      </c>
      <c r="E20" s="39" t="s">
        <v>89</v>
      </c>
      <c r="F20" s="39" t="s">
        <v>90</v>
      </c>
      <c r="G20" s="41" t="n">
        <v>1</v>
      </c>
      <c r="H20" s="41" t="n">
        <v>1</v>
      </c>
      <c r="I20" s="42" t="n">
        <v>1</v>
      </c>
      <c r="J20" s="42" t="n">
        <v>1</v>
      </c>
      <c r="K20" s="42" t="n">
        <v>0</v>
      </c>
      <c r="L20" s="34" t="str">
        <f aca="false">IF(ISBLANK(B20),"",IF(SUM(G20:K20)&gt;0,"เพิ่มขึ้น","คงเดิม"))</f>
        <v/>
      </c>
      <c r="M20" s="34" t="str">
        <f aca="false">IF(ISBLANK(B20),"",IF(OR(H20&gt;0,J20&gt;0),"เพิ่มขึ้น","คงเดิม"))</f>
        <v/>
      </c>
      <c r="N20" s="35"/>
      <c r="O20" s="34" t="str">
        <f aca="false">IF(ISBLANK(B20),"",IF(LEN(B20)=13,IF(RIGHT(11-MOD(MID(B20,1,1)*13+MID(B20,2,1)*12+MID(B20,3,1)*11+MID(B20,4,1)*10+MID(B20,5,1)*9+MID(B20,6,1)*8+MID(B20,7,1)*7+MID(B20,8,1)*6+MID(B20,9,1)*5+MID(B20,10,1)*4+MID(B20,11,1)*3+MID(B20,12,1)*2,11))=RIGHT(B20),"ถูกต้อง","ผิด "),"ไม่ครบ13หลัก"))</f>
        <v/>
      </c>
      <c r="P20" s="34" t="str">
        <f aca="false">CONCATENATE(D20," ",E20)</f>
        <v>ธนรัตน์ รอดพ่าย</v>
      </c>
      <c r="Q20" s="34"/>
      <c r="R20" s="37"/>
      <c r="U20" s="51"/>
      <c r="V20" s="51"/>
      <c r="W20" s="51"/>
      <c r="X20" s="51"/>
      <c r="Y20" s="51"/>
      <c r="Z20" s="51"/>
      <c r="AA20" s="51"/>
      <c r="AB20" s="51"/>
      <c r="AC20" s="52"/>
      <c r="AD20" s="51"/>
      <c r="AH20" s="11" t="s">
        <v>91</v>
      </c>
    </row>
    <row r="21" customFormat="false" ht="26.25" hidden="false" customHeight="true" outlineLevel="0" collapsed="false">
      <c r="A21" s="48" t="n">
        <v>14</v>
      </c>
      <c r="B21" s="40"/>
      <c r="C21" s="38" t="s">
        <v>40</v>
      </c>
      <c r="D21" s="38" t="s">
        <v>92</v>
      </c>
      <c r="E21" s="39" t="s">
        <v>93</v>
      </c>
      <c r="F21" s="39" t="s">
        <v>94</v>
      </c>
      <c r="G21" s="41" t="n">
        <v>1</v>
      </c>
      <c r="H21" s="41" t="n">
        <v>1</v>
      </c>
      <c r="I21" s="42" t="n">
        <v>1</v>
      </c>
      <c r="J21" s="42" t="n">
        <v>1</v>
      </c>
      <c r="K21" s="42" t="n">
        <v>0</v>
      </c>
      <c r="L21" s="34" t="str">
        <f aca="false">IF(ISBLANK(B21),"",IF(SUM(G21:K21)&gt;0,"เพิ่มขึ้น","คงเดิม"))</f>
        <v/>
      </c>
      <c r="M21" s="34" t="str">
        <f aca="false">IF(ISBLANK(B21),"",IF(OR(H21&gt;0,J21&gt;0),"เพิ่มขึ้น","คงเดิม"))</f>
        <v/>
      </c>
      <c r="N21" s="35"/>
      <c r="O21" s="34" t="str">
        <f aca="false">IF(ISBLANK(B21),"",IF(LEN(B21)=13,IF(RIGHT(11-MOD(MID(B21,1,1)*13+MID(B21,2,1)*12+MID(B21,3,1)*11+MID(B21,4,1)*10+MID(B21,5,1)*9+MID(B21,6,1)*8+MID(B21,7,1)*7+MID(B21,8,1)*6+MID(B21,9,1)*5+MID(B21,10,1)*4+MID(B21,11,1)*3+MID(B21,12,1)*2,11))=RIGHT(B21),"ถูกต้อง","ผิด "),"ไม่ครบ13หลัก"))</f>
        <v/>
      </c>
      <c r="P21" s="34" t="str">
        <f aca="false">CONCATENATE(D21," ",E21)</f>
        <v>ธนานิษฐ์ ธนาสิริฐานันท์</v>
      </c>
      <c r="Q21" s="34"/>
      <c r="R21" s="37"/>
      <c r="U21" s="46" t="s">
        <v>24</v>
      </c>
      <c r="V21" s="46"/>
      <c r="W21" s="46"/>
      <c r="X21" s="46"/>
      <c r="Y21" s="46"/>
      <c r="Z21" s="46"/>
      <c r="AA21" s="46"/>
      <c r="AB21" s="46" t="s">
        <v>95</v>
      </c>
      <c r="AC21" s="53" t="n">
        <f aca="false">ROUND(AVERAGE(G8:G107),2)</f>
        <v>0.93</v>
      </c>
      <c r="AD21" s="46" t="s">
        <v>96</v>
      </c>
      <c r="AH21" s="11" t="s">
        <v>97</v>
      </c>
    </row>
    <row r="22" customFormat="false" ht="26.25" hidden="false" customHeight="true" outlineLevel="0" collapsed="false">
      <c r="A22" s="48" t="n">
        <v>15</v>
      </c>
      <c r="B22" s="40"/>
      <c r="C22" s="38" t="s">
        <v>40</v>
      </c>
      <c r="D22" s="38" t="s">
        <v>98</v>
      </c>
      <c r="E22" s="39" t="s">
        <v>99</v>
      </c>
      <c r="F22" s="39" t="s">
        <v>100</v>
      </c>
      <c r="G22" s="41" t="n">
        <v>1</v>
      </c>
      <c r="H22" s="41" t="n">
        <v>1</v>
      </c>
      <c r="I22" s="42" t="n">
        <v>1</v>
      </c>
      <c r="J22" s="42" t="n">
        <v>1</v>
      </c>
      <c r="K22" s="42" t="n">
        <v>0</v>
      </c>
      <c r="L22" s="34" t="str">
        <f aca="false">IF(ISBLANK(B22),"",IF(SUM(G22:K22)&gt;0,"เพิ่มขึ้น","คงเดิม"))</f>
        <v/>
      </c>
      <c r="M22" s="34" t="str">
        <f aca="false">IF(ISBLANK(B22),"",IF(OR(H22&gt;0,J22&gt;0),"เพิ่มขึ้น","คงเดิม"))</f>
        <v/>
      </c>
      <c r="N22" s="35"/>
      <c r="O22" s="34" t="str">
        <f aca="false">IF(ISBLANK(B22),"",IF(LEN(B22)=13,IF(RIGHT(11-MOD(MID(B22,1,1)*13+MID(B22,2,1)*12+MID(B22,3,1)*11+MID(B22,4,1)*10+MID(B22,5,1)*9+MID(B22,6,1)*8+MID(B22,7,1)*7+MID(B22,8,1)*6+MID(B22,9,1)*5+MID(B22,10,1)*4+MID(B22,11,1)*3+MID(B22,12,1)*2,11))=RIGHT(B22),"ถูกต้อง","ผิด "),"ไม่ครบ13หลัก"))</f>
        <v/>
      </c>
      <c r="P22" s="34" t="str">
        <f aca="false">CONCATENATE(D22," ",E22)</f>
        <v>ธัญชนก กฤดิกุล</v>
      </c>
      <c r="Q22" s="34"/>
      <c r="R22" s="37"/>
      <c r="U22" s="49" t="s">
        <v>25</v>
      </c>
      <c r="V22" s="49"/>
      <c r="W22" s="49"/>
      <c r="X22" s="49"/>
      <c r="Y22" s="49"/>
      <c r="Z22" s="49"/>
      <c r="AA22" s="49"/>
      <c r="AB22" s="49" t="s">
        <v>95</v>
      </c>
      <c r="AC22" s="54" t="n">
        <f aca="false">AVERAGE(H8:H107)</f>
        <v>1.03448275862069</v>
      </c>
      <c r="AD22" s="49" t="s">
        <v>96</v>
      </c>
      <c r="AH22" s="11" t="s">
        <v>101</v>
      </c>
    </row>
    <row r="23" customFormat="false" ht="26.25" hidden="false" customHeight="true" outlineLevel="0" collapsed="false">
      <c r="A23" s="48" t="n">
        <v>16</v>
      </c>
      <c r="B23" s="40"/>
      <c r="C23" s="38" t="s">
        <v>30</v>
      </c>
      <c r="D23" s="38" t="s">
        <v>102</v>
      </c>
      <c r="E23" s="39" t="s">
        <v>103</v>
      </c>
      <c r="F23" s="39" t="s">
        <v>104</v>
      </c>
      <c r="G23" s="41" t="n">
        <v>1</v>
      </c>
      <c r="H23" s="41" t="n">
        <v>1</v>
      </c>
      <c r="I23" s="42" t="n">
        <v>1</v>
      </c>
      <c r="J23" s="42" t="n">
        <v>1</v>
      </c>
      <c r="K23" s="42" t="n">
        <v>0</v>
      </c>
      <c r="L23" s="34" t="str">
        <f aca="false">IF(ISBLANK(B23),"",IF(SUM(G23:K23)&gt;0,"เพิ่มขึ้น","คงเดิม"))</f>
        <v/>
      </c>
      <c r="M23" s="34" t="str">
        <f aca="false">IF(ISBLANK(B23),"",IF(OR(H23&gt;0,J23&gt;0),"เพิ่มขึ้น","คงเดิม"))</f>
        <v/>
      </c>
      <c r="N23" s="35"/>
      <c r="O23" s="34" t="str">
        <f aca="false">IF(ISBLANK(B23),"",IF(LEN(B23)=13,IF(RIGHT(11-MOD(MID(B23,1,1)*13+MID(B23,2,1)*12+MID(B23,3,1)*11+MID(B23,4,1)*10+MID(B23,5,1)*9+MID(B23,6,1)*8+MID(B23,7,1)*7+MID(B23,8,1)*6+MID(B23,9,1)*5+MID(B23,10,1)*4+MID(B23,11,1)*3+MID(B23,12,1)*2,11))=RIGHT(B23),"ถูกต้อง","ผิด "),"ไม่ครบ13หลัก"))</f>
        <v/>
      </c>
      <c r="P23" s="34" t="str">
        <f aca="false">CONCATENATE(D23," ",E23)</f>
        <v>นฤพล พันธุ์จบสิงห์</v>
      </c>
      <c r="Q23" s="34"/>
      <c r="R23" s="37"/>
      <c r="U23" s="49" t="s">
        <v>26</v>
      </c>
      <c r="V23" s="49"/>
      <c r="W23" s="49"/>
      <c r="X23" s="49"/>
      <c r="Y23" s="49"/>
      <c r="Z23" s="49"/>
      <c r="AA23" s="49"/>
      <c r="AB23" s="49" t="s">
        <v>95</v>
      </c>
      <c r="AC23" s="54" t="n">
        <f aca="false">AVERAGE(I8:I107)</f>
        <v>1</v>
      </c>
      <c r="AD23" s="49" t="s">
        <v>96</v>
      </c>
      <c r="AH23" s="11" t="s">
        <v>105</v>
      </c>
    </row>
    <row r="24" customFormat="false" ht="26.25" hidden="false" customHeight="true" outlineLevel="0" collapsed="false">
      <c r="A24" s="48" t="n">
        <v>17</v>
      </c>
      <c r="B24" s="40"/>
      <c r="C24" s="38" t="s">
        <v>40</v>
      </c>
      <c r="D24" s="38" t="s">
        <v>106</v>
      </c>
      <c r="E24" s="39" t="s">
        <v>107</v>
      </c>
      <c r="F24" s="39" t="s">
        <v>108</v>
      </c>
      <c r="G24" s="41" t="n">
        <v>1</v>
      </c>
      <c r="H24" s="41" t="n">
        <v>1</v>
      </c>
      <c r="I24" s="42" t="n">
        <v>1</v>
      </c>
      <c r="J24" s="42" t="n">
        <v>1</v>
      </c>
      <c r="K24" s="42" t="n">
        <v>0</v>
      </c>
      <c r="L24" s="34" t="str">
        <f aca="false">IF(ISBLANK(B24),"",IF(SUM(G24:K24)&gt;0,"เพิ่มขึ้น","คงเดิม"))</f>
        <v/>
      </c>
      <c r="M24" s="34" t="str">
        <f aca="false">IF(ISBLANK(B24),"",IF(OR(H24&gt;0,J24&gt;0),"เพิ่มขึ้น","คงเดิม"))</f>
        <v/>
      </c>
      <c r="N24" s="35"/>
      <c r="O24" s="34" t="str">
        <f aca="false">IF(ISBLANK(B24),"",IF(LEN(B24)=13,IF(RIGHT(11-MOD(MID(B24,1,1)*13+MID(B24,2,1)*12+MID(B24,3,1)*11+MID(B24,4,1)*10+MID(B24,5,1)*9+MID(B24,6,1)*8+MID(B24,7,1)*7+MID(B24,8,1)*6+MID(B24,9,1)*5+MID(B24,10,1)*4+MID(B24,11,1)*3+MID(B24,12,1)*2,11))=RIGHT(B24),"ถูกต้อง","ผิด "),"ไม่ครบ13หลัก"))</f>
        <v/>
      </c>
      <c r="P24" s="34" t="str">
        <f aca="false">CONCATENATE(D24," ",E24)</f>
        <v>นันทวัน ศิรเกียรติพล</v>
      </c>
      <c r="Q24" s="34"/>
      <c r="R24" s="37"/>
      <c r="U24" s="49" t="s">
        <v>27</v>
      </c>
      <c r="V24" s="49"/>
      <c r="W24" s="49"/>
      <c r="X24" s="49"/>
      <c r="Y24" s="49"/>
      <c r="Z24" s="49"/>
      <c r="AA24" s="49"/>
      <c r="AB24" s="49" t="s">
        <v>95</v>
      </c>
      <c r="AC24" s="54" t="n">
        <f aca="false">AVERAGE(J8:J107)</f>
        <v>1</v>
      </c>
      <c r="AD24" s="49" t="s">
        <v>96</v>
      </c>
      <c r="AH24" s="11" t="s">
        <v>109</v>
      </c>
    </row>
    <row r="25" customFormat="false" ht="26.25" hidden="false" customHeight="true" outlineLevel="0" collapsed="false">
      <c r="A25" s="48" t="n">
        <v>18</v>
      </c>
      <c r="B25" s="40"/>
      <c r="C25" s="38" t="s">
        <v>40</v>
      </c>
      <c r="D25" s="38" t="s">
        <v>110</v>
      </c>
      <c r="E25" s="39" t="s">
        <v>111</v>
      </c>
      <c r="F25" s="39" t="s">
        <v>112</v>
      </c>
      <c r="G25" s="41" t="n">
        <v>1</v>
      </c>
      <c r="H25" s="41" t="n">
        <v>1</v>
      </c>
      <c r="I25" s="42" t="n">
        <v>1</v>
      </c>
      <c r="J25" s="42" t="n">
        <v>1</v>
      </c>
      <c r="K25" s="42" t="n">
        <v>0</v>
      </c>
      <c r="L25" s="34" t="str">
        <f aca="false">IF(ISBLANK(B25),"",IF(SUM(G25:K25)&gt;0,"เพิ่มขึ้น","คงเดิม"))</f>
        <v/>
      </c>
      <c r="M25" s="34" t="str">
        <f aca="false">IF(ISBLANK(B25),"",IF(OR(H25&gt;0,J25&gt;0),"เพิ่มขึ้น","คงเดิม"))</f>
        <v/>
      </c>
      <c r="N25" s="35"/>
      <c r="O25" s="34" t="str">
        <f aca="false">IF(ISBLANK(B25),"",IF(LEN(B25)=13,IF(RIGHT(11-MOD(MID(B25,1,1)*13+MID(B25,2,1)*12+MID(B25,3,1)*11+MID(B25,4,1)*10+MID(B25,5,1)*9+MID(B25,6,1)*8+MID(B25,7,1)*7+MID(B25,8,1)*6+MID(B25,9,1)*5+MID(B25,10,1)*4+MID(B25,11,1)*3+MID(B25,12,1)*2,11))=RIGHT(B25),"ถูกต้อง","ผิด "),"ไม่ครบ13หลัก"))</f>
        <v/>
      </c>
      <c r="P25" s="34" t="str">
        <f aca="false">CONCATENATE(D25," ",E25)</f>
        <v>นับเดือน แพ่งกลิ่น</v>
      </c>
      <c r="Q25" s="34"/>
      <c r="R25" s="37"/>
      <c r="U25" s="49" t="s">
        <v>28</v>
      </c>
      <c r="V25" s="49"/>
      <c r="W25" s="49"/>
      <c r="X25" s="49"/>
      <c r="Y25" s="49"/>
      <c r="Z25" s="49"/>
      <c r="AA25" s="49"/>
      <c r="AB25" s="49" t="s">
        <v>95</v>
      </c>
      <c r="AC25" s="54" t="n">
        <f aca="false">AVERAGE(K8:K107)</f>
        <v>0</v>
      </c>
      <c r="AD25" s="49" t="s">
        <v>96</v>
      </c>
      <c r="AH25" s="11" t="s">
        <v>113</v>
      </c>
    </row>
    <row r="26" customFormat="false" ht="26.25" hidden="false" customHeight="true" outlineLevel="0" collapsed="false">
      <c r="A26" s="48" t="n">
        <v>19</v>
      </c>
      <c r="B26" s="40"/>
      <c r="C26" s="38" t="s">
        <v>114</v>
      </c>
      <c r="D26" s="38" t="s">
        <v>115</v>
      </c>
      <c r="E26" s="39" t="s">
        <v>55</v>
      </c>
      <c r="F26" s="39" t="s">
        <v>116</v>
      </c>
      <c r="G26" s="41" t="n">
        <v>1</v>
      </c>
      <c r="H26" s="41" t="n">
        <v>1</v>
      </c>
      <c r="I26" s="42" t="n">
        <v>1</v>
      </c>
      <c r="J26" s="42" t="n">
        <v>1</v>
      </c>
      <c r="K26" s="42" t="n">
        <v>0</v>
      </c>
      <c r="L26" s="34" t="str">
        <f aca="false">IF(ISBLANK(B26),"",IF(SUM(G26:K26)&gt;0,"เพิ่มขึ้น","คงเดิม"))</f>
        <v/>
      </c>
      <c r="M26" s="34" t="str">
        <f aca="false">IF(ISBLANK(B26),"",IF(OR(H26&gt;0,J26&gt;0),"เพิ่มขึ้น","คงเดิม"))</f>
        <v/>
      </c>
      <c r="N26" s="35"/>
      <c r="O26" s="34" t="str">
        <f aca="false">IF(ISBLANK(B26),"",IF(LEN(B26)=13,IF(RIGHT(11-MOD(MID(B26,1,1)*13+MID(B26,2,1)*12+MID(B26,3,1)*11+MID(B26,4,1)*10+MID(B26,5,1)*9+MID(B26,6,1)*8+MID(B26,7,1)*7+MID(B26,8,1)*6+MID(B26,9,1)*5+MID(B26,10,1)*4+MID(B26,11,1)*3+MID(B26,12,1)*2,11))=RIGHT(B26),"ถูกต้อง","ผิด "),"ไม่ครบ13หลัก"))</f>
        <v/>
      </c>
      <c r="P26" s="34" t="str">
        <f aca="false">CONCATENATE(D26," ",E26)</f>
        <v>นาฏยา ทัศนีย์</v>
      </c>
      <c r="Q26" s="34"/>
      <c r="R26" s="37"/>
      <c r="U26" s="49" t="s">
        <v>117</v>
      </c>
      <c r="V26" s="49"/>
      <c r="W26" s="49"/>
      <c r="X26" s="49"/>
      <c r="Y26" s="49"/>
      <c r="Z26" s="49"/>
      <c r="AA26" s="49"/>
      <c r="AB26" s="49" t="s">
        <v>95</v>
      </c>
      <c r="AC26" s="54" t="n">
        <f aca="false">AVERAGE(AC21:AC25)</f>
        <v>0.792896551724138</v>
      </c>
      <c r="AD26" s="49" t="s">
        <v>96</v>
      </c>
      <c r="AH26" s="11" t="s">
        <v>118</v>
      </c>
    </row>
    <row r="27" customFormat="false" ht="26.25" hidden="false" customHeight="true" outlineLevel="0" collapsed="false">
      <c r="A27" s="48" t="n">
        <v>20</v>
      </c>
      <c r="B27" s="40"/>
      <c r="C27" s="38" t="s">
        <v>30</v>
      </c>
      <c r="D27" s="38" t="s">
        <v>119</v>
      </c>
      <c r="E27" s="39" t="s">
        <v>120</v>
      </c>
      <c r="F27" s="39" t="s">
        <v>121</v>
      </c>
      <c r="G27" s="41" t="n">
        <v>1</v>
      </c>
      <c r="H27" s="41" t="n">
        <v>1</v>
      </c>
      <c r="I27" s="42" t="n">
        <v>1</v>
      </c>
      <c r="J27" s="42" t="n">
        <v>1</v>
      </c>
      <c r="K27" s="42" t="n">
        <v>0</v>
      </c>
      <c r="L27" s="34" t="str">
        <f aca="false">IF(ISBLANK(B27),"",IF(SUM(G27:K27)&gt;0,"เพิ่มขึ้น","คงเดิม"))</f>
        <v/>
      </c>
      <c r="M27" s="34" t="str">
        <f aca="false">IF(ISBLANK(B27),"",IF(OR(H27&gt;0,J27&gt;0),"เพิ่มขึ้น","คงเดิม"))</f>
        <v/>
      </c>
      <c r="N27" s="35"/>
      <c r="O27" s="34" t="str">
        <f aca="false">IF(ISBLANK(B27),"",IF(LEN(B27)=13,IF(RIGHT(11-MOD(MID(B27,1,1)*13+MID(B27,2,1)*12+MID(B27,3,1)*11+MID(B27,4,1)*10+MID(B27,5,1)*9+MID(B27,6,1)*8+MID(B27,7,1)*7+MID(B27,8,1)*6+MID(B27,9,1)*5+MID(B27,10,1)*4+MID(B27,11,1)*3+MID(B27,12,1)*2,11))=RIGHT(B27),"ถูกต้อง","ผิด "),"ไม่ครบ13หลัก"))</f>
        <v/>
      </c>
      <c r="P27" s="34" t="str">
        <f aca="false">CONCATENATE(D27," ",E27)</f>
        <v>พลพัฒน์ ทิมหาญ</v>
      </c>
      <c r="Q27" s="34"/>
      <c r="R27" s="37"/>
      <c r="AH27" s="11" t="s">
        <v>122</v>
      </c>
    </row>
    <row r="28" customFormat="false" ht="26.25" hidden="false" customHeight="true" outlineLevel="0" collapsed="false">
      <c r="A28" s="48" t="n">
        <v>21</v>
      </c>
      <c r="B28" s="40"/>
      <c r="C28" s="38" t="s">
        <v>40</v>
      </c>
      <c r="D28" s="38" t="s">
        <v>123</v>
      </c>
      <c r="E28" s="39" t="s">
        <v>124</v>
      </c>
      <c r="F28" s="39" t="s">
        <v>85</v>
      </c>
      <c r="G28" s="41" t="n">
        <v>1</v>
      </c>
      <c r="H28" s="41" t="n">
        <v>1</v>
      </c>
      <c r="I28" s="42" t="n">
        <v>1</v>
      </c>
      <c r="J28" s="42" t="n">
        <v>1</v>
      </c>
      <c r="K28" s="42" t="n">
        <v>0</v>
      </c>
      <c r="L28" s="34" t="str">
        <f aca="false">IF(ISBLANK(B28),"",IF(SUM(G28:K28)&gt;0,"เพิ่มขึ้น","คงเดิม"))</f>
        <v/>
      </c>
      <c r="M28" s="34" t="str">
        <f aca="false">IF(ISBLANK(B28),"",IF(OR(H28&gt;0,J28&gt;0),"เพิ่มขึ้น","คงเดิม"))</f>
        <v/>
      </c>
      <c r="N28" s="35"/>
      <c r="O28" s="34" t="str">
        <f aca="false">IF(ISBLANK(B28),"",IF(LEN(B28)=13,IF(RIGHT(11-MOD(MID(B28,1,1)*13+MID(B28,2,1)*12+MID(B28,3,1)*11+MID(B28,4,1)*10+MID(B28,5,1)*9+MID(B28,6,1)*8+MID(B28,7,1)*7+MID(B28,8,1)*6+MID(B28,9,1)*5+MID(B28,10,1)*4+MID(B28,11,1)*3+MID(B28,12,1)*2,11))=RIGHT(B28),"ถูกต้อง","ผิด "),"ไม่ครบ13หลัก"))</f>
        <v/>
      </c>
      <c r="P28" s="34" t="str">
        <f aca="false">CONCATENATE(D28," ",E28)</f>
        <v>ภัควดี มณี</v>
      </c>
      <c r="Q28" s="34"/>
      <c r="R28" s="37"/>
      <c r="W28" s="1" t="s">
        <v>34</v>
      </c>
      <c r="AH28" s="11" t="s">
        <v>125</v>
      </c>
    </row>
    <row r="29" customFormat="false" ht="26.25" hidden="false" customHeight="true" outlineLevel="0" collapsed="false">
      <c r="A29" s="48" t="n">
        <v>22</v>
      </c>
      <c r="B29" s="40"/>
      <c r="C29" s="38" t="s">
        <v>40</v>
      </c>
      <c r="D29" s="38" t="s">
        <v>126</v>
      </c>
      <c r="E29" s="39" t="s">
        <v>127</v>
      </c>
      <c r="F29" s="39" t="s">
        <v>128</v>
      </c>
      <c r="G29" s="41" t="n">
        <v>1</v>
      </c>
      <c r="H29" s="41" t="n">
        <v>1</v>
      </c>
      <c r="I29" s="42" t="n">
        <v>1</v>
      </c>
      <c r="J29" s="42" t="n">
        <v>1</v>
      </c>
      <c r="K29" s="42" t="n">
        <v>0</v>
      </c>
      <c r="L29" s="34" t="str">
        <f aca="false">IF(ISBLANK(B29),"",IF(SUM(G29:K29)&gt;0,"เพิ่มขึ้น","คงเดิม"))</f>
        <v/>
      </c>
      <c r="M29" s="34" t="str">
        <f aca="false">IF(ISBLANK(B29),"",IF(OR(H29&gt;0,J29&gt;0),"เพิ่มขึ้น","คงเดิม"))</f>
        <v/>
      </c>
      <c r="N29" s="35"/>
      <c r="O29" s="34" t="str">
        <f aca="false">IF(ISBLANK(B29),"",IF(LEN(B29)=13,IF(RIGHT(11-MOD(MID(B29,1,1)*13+MID(B29,2,1)*12+MID(B29,3,1)*11+MID(B29,4,1)*10+MID(B29,5,1)*9+MID(B29,6,1)*8+MID(B29,7,1)*7+MID(B29,8,1)*6+MID(B29,9,1)*5+MID(B29,10,1)*4+MID(B29,11,1)*3+MID(B29,12,1)*2,11))=RIGHT(B29),"ถูกต้อง","ผิด "),"ไม่ครบ13หลัก"))</f>
        <v/>
      </c>
      <c r="P29" s="34" t="str">
        <f aca="false">CONCATENATE(D29," ",E29)</f>
        <v>ภัทรมน ธงไชย</v>
      </c>
      <c r="Q29" s="34"/>
      <c r="R29" s="37"/>
      <c r="W29" s="1" t="s">
        <v>48</v>
      </c>
      <c r="AH29" s="11" t="s">
        <v>129</v>
      </c>
    </row>
    <row r="30" customFormat="false" ht="26.25" hidden="false" customHeight="true" outlineLevel="0" collapsed="false">
      <c r="A30" s="48" t="n">
        <v>23</v>
      </c>
      <c r="B30" s="40"/>
      <c r="C30" s="38" t="s">
        <v>40</v>
      </c>
      <c r="D30" s="38" t="s">
        <v>130</v>
      </c>
      <c r="E30" s="39" t="s">
        <v>131</v>
      </c>
      <c r="F30" s="39" t="s">
        <v>132</v>
      </c>
      <c r="G30" s="41" t="n">
        <v>1</v>
      </c>
      <c r="H30" s="41" t="n">
        <v>1</v>
      </c>
      <c r="I30" s="42" t="n">
        <v>1</v>
      </c>
      <c r="J30" s="42" t="n">
        <v>1</v>
      </c>
      <c r="K30" s="42" t="n">
        <v>0</v>
      </c>
      <c r="L30" s="34" t="str">
        <f aca="false">IF(ISBLANK(B30),"",IF(SUM(G30:K30)&gt;0,"เพิ่มขึ้น","คงเดิม"))</f>
        <v/>
      </c>
      <c r="M30" s="34" t="str">
        <f aca="false">IF(ISBLANK(B30),"",IF(OR(H30&gt;0,J30&gt;0),"เพิ่มขึ้น","คงเดิม"))</f>
        <v/>
      </c>
      <c r="N30" s="35"/>
      <c r="O30" s="34" t="str">
        <f aca="false">IF(ISBLANK(B30),"",IF(LEN(B30)=13,IF(RIGHT(11-MOD(MID(B30,1,1)*13+MID(B30,2,1)*12+MID(B30,3,1)*11+MID(B30,4,1)*10+MID(B30,5,1)*9+MID(B30,6,1)*8+MID(B30,7,1)*7+MID(B30,8,1)*6+MID(B30,9,1)*5+MID(B30,10,1)*4+MID(B30,11,1)*3+MID(B30,12,1)*2,11))=RIGHT(B30),"ถูกต้อง","ผิด "),"ไม่ครบ13หลัก"))</f>
        <v/>
      </c>
      <c r="P30" s="34" t="str">
        <f aca="false">CONCATENATE(D30," ",E30)</f>
        <v>มาลา นาคสุวรรณ</v>
      </c>
      <c r="Q30" s="34"/>
      <c r="R30" s="37"/>
      <c r="W30" s="1" t="s">
        <v>133</v>
      </c>
      <c r="AH30" s="11" t="s">
        <v>134</v>
      </c>
    </row>
    <row r="31" customFormat="false" ht="26.25" hidden="false" customHeight="true" outlineLevel="0" collapsed="false">
      <c r="A31" s="48" t="n">
        <v>24</v>
      </c>
      <c r="B31" s="40"/>
      <c r="C31" s="38" t="s">
        <v>40</v>
      </c>
      <c r="D31" s="38" t="s">
        <v>135</v>
      </c>
      <c r="E31" s="39" t="s">
        <v>136</v>
      </c>
      <c r="F31" s="39" t="s">
        <v>137</v>
      </c>
      <c r="G31" s="41" t="n">
        <v>1</v>
      </c>
      <c r="H31" s="41" t="n">
        <v>1</v>
      </c>
      <c r="I31" s="42" t="n">
        <v>1</v>
      </c>
      <c r="J31" s="42" t="n">
        <v>1</v>
      </c>
      <c r="K31" s="42" t="n">
        <v>0</v>
      </c>
      <c r="L31" s="34" t="str">
        <f aca="false">IF(ISBLANK(B31),"",IF(SUM(G31:K31)&gt;0,"เพิ่มขึ้น","คงเดิม"))</f>
        <v/>
      </c>
      <c r="M31" s="34" t="str">
        <f aca="false">IF(ISBLANK(B31),"",IF(OR(H31&gt;0,J31&gt;0),"เพิ่มขึ้น","คงเดิม"))</f>
        <v/>
      </c>
      <c r="N31" s="35"/>
      <c r="O31" s="34" t="str">
        <f aca="false">IF(ISBLANK(B31),"",IF(LEN(B31)=13,IF(RIGHT(11-MOD(MID(B31,1,1)*13+MID(B31,2,1)*12+MID(B31,3,1)*11+MID(B31,4,1)*10+MID(B31,5,1)*9+MID(B31,6,1)*8+MID(B31,7,1)*7+MID(B31,8,1)*6+MID(B31,9,1)*5+MID(B31,10,1)*4+MID(B31,11,1)*3+MID(B31,12,1)*2,11))=RIGHT(B31),"ถูกต้อง","ผิด "),"ไม่ครบ13หลัก"))</f>
        <v/>
      </c>
      <c r="P31" s="34" t="str">
        <f aca="false">CONCATENATE(D31," ",E31)</f>
        <v>รุ่งระวี ทองมลีวรรณ์</v>
      </c>
      <c r="Q31" s="34"/>
      <c r="R31" s="37"/>
      <c r="W31" s="1" t="s">
        <v>52</v>
      </c>
      <c r="AH31" s="11" t="s">
        <v>138</v>
      </c>
    </row>
    <row r="32" customFormat="false" ht="26.25" hidden="false" customHeight="true" outlineLevel="0" collapsed="false">
      <c r="A32" s="48" t="n">
        <v>25</v>
      </c>
      <c r="B32" s="40"/>
      <c r="C32" s="38" t="s">
        <v>40</v>
      </c>
      <c r="D32" s="38" t="s">
        <v>139</v>
      </c>
      <c r="E32" s="39" t="s">
        <v>140</v>
      </c>
      <c r="F32" s="39" t="s">
        <v>141</v>
      </c>
      <c r="G32" s="41" t="n">
        <v>1</v>
      </c>
      <c r="H32" s="41" t="n">
        <v>1</v>
      </c>
      <c r="I32" s="42" t="n">
        <v>1</v>
      </c>
      <c r="J32" s="42" t="n">
        <v>1</v>
      </c>
      <c r="K32" s="42" t="n">
        <v>0</v>
      </c>
      <c r="L32" s="34" t="str">
        <f aca="false">IF(ISBLANK(B32),"",IF(SUM(G32:K32)&gt;0,"เพิ่มขึ้น","คงเดิม"))</f>
        <v/>
      </c>
      <c r="M32" s="34" t="str">
        <f aca="false">IF(ISBLANK(B32),"",IF(OR(H32&gt;0,J32&gt;0),"เพิ่มขึ้น","คงเดิม"))</f>
        <v/>
      </c>
      <c r="N32" s="35"/>
      <c r="O32" s="34" t="str">
        <f aca="false">IF(ISBLANK(B32),"",IF(LEN(B32)=13,IF(RIGHT(11-MOD(MID(B32,1,1)*13+MID(B32,2,1)*12+MID(B32,3,1)*11+MID(B32,4,1)*10+MID(B32,5,1)*9+MID(B32,6,1)*8+MID(B32,7,1)*7+MID(B32,8,1)*6+MID(B32,9,1)*5+MID(B32,10,1)*4+MID(B32,11,1)*3+MID(B32,12,1)*2,11))=RIGHT(B32),"ถูกต้อง","ผิด "),"ไม่ครบ13หลัก"))</f>
        <v/>
      </c>
      <c r="P32" s="34" t="str">
        <f aca="false">CONCATENATE(D32," ",E32)</f>
        <v>พรทิวา สร้อยมาลัย</v>
      </c>
      <c r="Q32" s="34"/>
      <c r="R32" s="37"/>
      <c r="W32" s="1" t="s">
        <v>142</v>
      </c>
      <c r="AH32" s="11" t="s">
        <v>143</v>
      </c>
    </row>
    <row r="33" customFormat="false" ht="26.25" hidden="false" customHeight="true" outlineLevel="0" collapsed="false">
      <c r="A33" s="48" t="n">
        <v>26</v>
      </c>
      <c r="B33" s="40"/>
      <c r="C33" s="38" t="s">
        <v>40</v>
      </c>
      <c r="D33" s="38" t="s">
        <v>144</v>
      </c>
      <c r="E33" s="39" t="s">
        <v>145</v>
      </c>
      <c r="F33" s="39" t="s">
        <v>146</v>
      </c>
      <c r="G33" s="41" t="n">
        <v>1</v>
      </c>
      <c r="H33" s="41" t="n">
        <v>1</v>
      </c>
      <c r="I33" s="42" t="n">
        <v>1</v>
      </c>
      <c r="J33" s="42" t="n">
        <v>1</v>
      </c>
      <c r="K33" s="42" t="n">
        <v>0</v>
      </c>
      <c r="L33" s="34" t="str">
        <f aca="false">IF(ISBLANK(B33),"",IF(SUM(G33:K33)&gt;0,"เพิ่มขึ้น","คงเดิม"))</f>
        <v/>
      </c>
      <c r="M33" s="34" t="str">
        <f aca="false">IF(ISBLANK(B33),"",IF(OR(H33&gt;0,J33&gt;0),"เพิ่มขึ้น","คงเดิม"))</f>
        <v/>
      </c>
      <c r="N33" s="35"/>
      <c r="O33" s="34" t="str">
        <f aca="false">IF(ISBLANK(B33),"",IF(LEN(B33)=13,IF(RIGHT(11-MOD(MID(B33,1,1)*13+MID(B33,2,1)*12+MID(B33,3,1)*11+MID(B33,4,1)*10+MID(B33,5,1)*9+MID(B33,6,1)*8+MID(B33,7,1)*7+MID(B33,8,1)*6+MID(B33,9,1)*5+MID(B33,10,1)*4+MID(B33,11,1)*3+MID(B33,12,1)*2,11))=RIGHT(B33),"ถูกต้อง","ผิด "),"ไม่ครบ13หลัก"))</f>
        <v/>
      </c>
      <c r="P33" s="34" t="str">
        <f aca="false">CONCATENATE(D33," ",E33)</f>
        <v>ศศิมา เทแก้ว</v>
      </c>
      <c r="Q33" s="34"/>
      <c r="R33" s="37"/>
      <c r="W33" s="1" t="s">
        <v>147</v>
      </c>
      <c r="AH33" s="11" t="s">
        <v>148</v>
      </c>
    </row>
    <row r="34" customFormat="false" ht="26.25" hidden="false" customHeight="true" outlineLevel="0" collapsed="false">
      <c r="A34" s="48" t="n">
        <v>27</v>
      </c>
      <c r="B34" s="40"/>
      <c r="C34" s="38" t="s">
        <v>40</v>
      </c>
      <c r="D34" s="38" t="s">
        <v>149</v>
      </c>
      <c r="E34" s="39" t="s">
        <v>150</v>
      </c>
      <c r="F34" s="39" t="s">
        <v>151</v>
      </c>
      <c r="G34" s="41" t="n">
        <v>1</v>
      </c>
      <c r="H34" s="41" t="n">
        <v>1</v>
      </c>
      <c r="I34" s="42" t="n">
        <v>1</v>
      </c>
      <c r="J34" s="42" t="n">
        <v>1</v>
      </c>
      <c r="K34" s="42" t="n">
        <v>0</v>
      </c>
      <c r="L34" s="34" t="str">
        <f aca="false">IF(ISBLANK(B34),"",IF(SUM(G34:K34)&gt;0,"เพิ่มขึ้น","คงเดิม"))</f>
        <v/>
      </c>
      <c r="M34" s="34" t="str">
        <f aca="false">IF(ISBLANK(B34),"",IF(OR(H34&gt;0,J34&gt;0),"เพิ่มขึ้น","คงเดิม"))</f>
        <v/>
      </c>
      <c r="N34" s="35"/>
      <c r="O34" s="34" t="str">
        <f aca="false">IF(ISBLANK(B34),"",IF(LEN(B34)=13,IF(RIGHT(11-MOD(MID(B34,1,1)*13+MID(B34,2,1)*12+MID(B34,3,1)*11+MID(B34,4,1)*10+MID(B34,5,1)*9+MID(B34,6,1)*8+MID(B34,7,1)*7+MID(B34,8,1)*6+MID(B34,9,1)*5+MID(B34,10,1)*4+MID(B34,11,1)*3+MID(B34,12,1)*2,11))=RIGHT(B34),"ถูกต้อง","ผิด "),"ไม่ครบ13หลัก"))</f>
        <v/>
      </c>
      <c r="P34" s="34" t="str">
        <f aca="false">CONCATENATE(D34," ",E34)</f>
        <v>อรธิรา เฉลิมถ้อย</v>
      </c>
      <c r="Q34" s="34"/>
      <c r="R34" s="37"/>
      <c r="W34" s="1" t="s">
        <v>152</v>
      </c>
      <c r="AH34" s="11" t="s">
        <v>153</v>
      </c>
    </row>
    <row r="35" customFormat="false" ht="26.25" hidden="false" customHeight="true" outlineLevel="0" collapsed="false">
      <c r="A35" s="48" t="n">
        <v>28</v>
      </c>
      <c r="B35" s="40"/>
      <c r="C35" s="38" t="s">
        <v>40</v>
      </c>
      <c r="D35" s="38" t="s">
        <v>154</v>
      </c>
      <c r="E35" s="39" t="s">
        <v>155</v>
      </c>
      <c r="F35" s="39" t="s">
        <v>156</v>
      </c>
      <c r="G35" s="41" t="n">
        <v>1</v>
      </c>
      <c r="H35" s="41" t="n">
        <v>1</v>
      </c>
      <c r="I35" s="42" t="n">
        <v>1</v>
      </c>
      <c r="J35" s="42" t="n">
        <v>1</v>
      </c>
      <c r="K35" s="42" t="n">
        <v>0</v>
      </c>
      <c r="L35" s="34" t="str">
        <f aca="false">IF(ISBLANK(B35),"",IF(SUM(G35:K35)&gt;0,"เพิ่มขึ้น","คงเดิม"))</f>
        <v/>
      </c>
      <c r="M35" s="34" t="str">
        <f aca="false">IF(ISBLANK(B35),"",IF(OR(H35&gt;0,J35&gt;0),"เพิ่มขึ้น","คงเดิม"))</f>
        <v/>
      </c>
      <c r="N35" s="35"/>
      <c r="O35" s="34" t="str">
        <f aca="false">IF(ISBLANK(B35),"",IF(LEN(B35)=13,IF(RIGHT(11-MOD(MID(B35,1,1)*13+MID(B35,2,1)*12+MID(B35,3,1)*11+MID(B35,4,1)*10+MID(B35,5,1)*9+MID(B35,6,1)*8+MID(B35,7,1)*7+MID(B35,8,1)*6+MID(B35,9,1)*5+MID(B35,10,1)*4+MID(B35,11,1)*3+MID(B35,12,1)*2,11))=RIGHT(B35),"ถูกต้อง","ผิด "),"ไม่ครบ13หลัก"))</f>
        <v/>
      </c>
      <c r="P35" s="34" t="str">
        <f aca="false">CONCATENATE(D35," ",E35)</f>
        <v>อรวรรณ วงศ์ธนากรชัย</v>
      </c>
      <c r="Q35" s="34"/>
      <c r="R35" s="37"/>
      <c r="AH35" s="11" t="s">
        <v>157</v>
      </c>
    </row>
    <row r="36" customFormat="false" ht="26.25" hidden="false" customHeight="true" outlineLevel="0" collapsed="false">
      <c r="A36" s="48" t="n">
        <v>29</v>
      </c>
      <c r="B36" s="40"/>
      <c r="C36" s="38" t="s">
        <v>40</v>
      </c>
      <c r="D36" s="38" t="s">
        <v>158</v>
      </c>
      <c r="E36" s="39" t="s">
        <v>159</v>
      </c>
      <c r="F36" s="39" t="s">
        <v>160</v>
      </c>
      <c r="G36" s="41" t="n">
        <v>1</v>
      </c>
      <c r="H36" s="41" t="n">
        <v>1</v>
      </c>
      <c r="I36" s="42" t="n">
        <v>1</v>
      </c>
      <c r="J36" s="42" t="n">
        <v>1</v>
      </c>
      <c r="K36" s="42" t="n">
        <v>0</v>
      </c>
      <c r="L36" s="34" t="str">
        <f aca="false">IF(ISBLANK(B36),"",IF(SUM(G36:K36)&gt;0,"เพิ่มขึ้น","คงเดิม"))</f>
        <v/>
      </c>
      <c r="M36" s="34" t="str">
        <f aca="false">IF(ISBLANK(B36),"",IF(OR(H36&gt;0,J36&gt;0),"เพิ่มขึ้น","คงเดิม"))</f>
        <v/>
      </c>
      <c r="N36" s="35"/>
      <c r="O36" s="34" t="str">
        <f aca="false">IF(ISBLANK(B36),"",IF(LEN(B36)=13,IF(RIGHT(11-MOD(MID(B36,1,1)*13+MID(B36,2,1)*12+MID(B36,3,1)*11+MID(B36,4,1)*10+MID(B36,5,1)*9+MID(B36,6,1)*8+MID(B36,7,1)*7+MID(B36,8,1)*6+MID(B36,9,1)*5+MID(B36,10,1)*4+MID(B36,11,1)*3+MID(B36,12,1)*2,11))=RIGHT(B36),"ถูกต้อง","ผิด "),"ไม่ครบ13หลัก"))</f>
        <v/>
      </c>
      <c r="P36" s="34" t="str">
        <f aca="false">CONCATENATE(D36," ",E36)</f>
        <v>อารยา พึ่งมี</v>
      </c>
      <c r="Q36" s="34"/>
      <c r="R36" s="37"/>
      <c r="AH36" s="11" t="s">
        <v>161</v>
      </c>
    </row>
    <row r="37" customFormat="false" ht="26.25" hidden="false" customHeight="true" outlineLevel="0" collapsed="false">
      <c r="A37" s="48"/>
      <c r="B37" s="40"/>
      <c r="C37" s="38"/>
      <c r="D37" s="38"/>
      <c r="E37" s="39"/>
      <c r="F37" s="39"/>
      <c r="G37" s="41"/>
      <c r="H37" s="41"/>
      <c r="I37" s="42"/>
      <c r="J37" s="42"/>
      <c r="K37" s="42"/>
      <c r="L37" s="34" t="str">
        <f aca="false">IF(ISBLANK(B37),"",IF(SUM(G37:K37)&gt;0,"เพิ่มขึ้น","คงเดิม"))</f>
        <v/>
      </c>
      <c r="M37" s="34" t="str">
        <f aca="false">IF(ISBLANK(B37),"",IF(OR(H37&gt;0,J37&gt;0),"เพิ่มขึ้น","คงเดิม"))</f>
        <v/>
      </c>
      <c r="N37" s="35"/>
      <c r="O37" s="34" t="str">
        <f aca="false">IF(ISBLANK(B37),"",IF(LEN(B37)=13,IF(RIGHT(11-MOD(MID(B37,1,1)*13+MID(B37,2,1)*12+MID(B37,3,1)*11+MID(B37,4,1)*10+MID(B37,5,1)*9+MID(B37,6,1)*8+MID(B37,7,1)*7+MID(B37,8,1)*6+MID(B37,9,1)*5+MID(B37,10,1)*4+MID(B37,11,1)*3+MID(B37,12,1)*2,11))=RIGHT(B37),"ถูกต้อง","ผิด "),"ไม่ครบ13หลัก"))</f>
        <v/>
      </c>
      <c r="P37" s="34" t="str">
        <f aca="false">CONCATENATE(D37," ",E37)</f>
        <v> </v>
      </c>
      <c r="Q37" s="34"/>
      <c r="R37" s="37"/>
      <c r="AH37" s="11" t="s">
        <v>162</v>
      </c>
    </row>
    <row r="38" customFormat="false" ht="26.25" hidden="false" customHeight="true" outlineLevel="0" collapsed="false">
      <c r="A38" s="48"/>
      <c r="B38" s="40"/>
      <c r="C38" s="38"/>
      <c r="D38" s="38"/>
      <c r="E38" s="39"/>
      <c r="F38" s="39"/>
      <c r="G38" s="41"/>
      <c r="H38" s="41"/>
      <c r="I38" s="42"/>
      <c r="J38" s="42"/>
      <c r="K38" s="42"/>
      <c r="L38" s="34" t="str">
        <f aca="false">IF(ISBLANK(B38),"",IF(SUM(G38:K38)&gt;0,"เพิ่มขึ้น","คงเดิม"))</f>
        <v/>
      </c>
      <c r="M38" s="34" t="str">
        <f aca="false">IF(ISBLANK(B38),"",IF(OR(H38&gt;0,J38&gt;0),"เพิ่มขึ้น","คงเดิม"))</f>
        <v/>
      </c>
      <c r="N38" s="35"/>
      <c r="O38" s="34" t="str">
        <f aca="false">IF(ISBLANK(B38),"",IF(LEN(B38)=13,IF(RIGHT(11-MOD(MID(B38,1,1)*13+MID(B38,2,1)*12+MID(B38,3,1)*11+MID(B38,4,1)*10+MID(B38,5,1)*9+MID(B38,6,1)*8+MID(B38,7,1)*7+MID(B38,8,1)*6+MID(B38,9,1)*5+MID(B38,10,1)*4+MID(B38,11,1)*3+MID(B38,12,1)*2,11))=RIGHT(B38),"ถูกต้อง","ผิด "),"ไม่ครบ13หลัก"))</f>
        <v/>
      </c>
      <c r="P38" s="34" t="str">
        <f aca="false">CONCATENATE(D38," ",E38)</f>
        <v> </v>
      </c>
      <c r="Q38" s="34"/>
      <c r="R38" s="37"/>
      <c r="AH38" s="11" t="s">
        <v>163</v>
      </c>
    </row>
    <row r="39" customFormat="false" ht="26.25" hidden="false" customHeight="true" outlineLevel="0" collapsed="false">
      <c r="A39" s="48"/>
      <c r="B39" s="40"/>
      <c r="C39" s="38"/>
      <c r="D39" s="38"/>
      <c r="E39" s="39"/>
      <c r="F39" s="39"/>
      <c r="G39" s="41"/>
      <c r="H39" s="41"/>
      <c r="I39" s="42"/>
      <c r="J39" s="42"/>
      <c r="K39" s="42"/>
      <c r="L39" s="34" t="str">
        <f aca="false">IF(ISBLANK(B39),"",IF(SUM(G39:K39)&gt;0,"เพิ่มขึ้น","คงเดิม"))</f>
        <v/>
      </c>
      <c r="M39" s="34" t="str">
        <f aca="false">IF(ISBLANK(B39),"",IF(OR(H39&gt;0,J39&gt;0),"เพิ่มขึ้น","คงเดิม"))</f>
        <v/>
      </c>
      <c r="N39" s="35"/>
      <c r="O39" s="34" t="str">
        <f aca="false">IF(ISBLANK(B39),"",IF(LEN(B39)=13,IF(RIGHT(11-MOD(MID(B39,1,1)*13+MID(B39,2,1)*12+MID(B39,3,1)*11+MID(B39,4,1)*10+MID(B39,5,1)*9+MID(B39,6,1)*8+MID(B39,7,1)*7+MID(B39,8,1)*6+MID(B39,9,1)*5+MID(B39,10,1)*4+MID(B39,11,1)*3+MID(B39,12,1)*2,11))=RIGHT(B39),"ถูกต้อง","ผิด "),"ไม่ครบ13หลัก"))</f>
        <v/>
      </c>
      <c r="P39" s="34" t="str">
        <f aca="false">CONCATENATE(D39," ",E39)</f>
        <v> </v>
      </c>
      <c r="Q39" s="34"/>
      <c r="R39" s="37"/>
      <c r="AH39" s="11" t="s">
        <v>164</v>
      </c>
    </row>
    <row r="40" customFormat="false" ht="26.25" hidden="false" customHeight="true" outlineLevel="0" collapsed="false">
      <c r="A40" s="48"/>
      <c r="B40" s="40"/>
      <c r="C40" s="38"/>
      <c r="D40" s="38"/>
      <c r="E40" s="39"/>
      <c r="F40" s="39"/>
      <c r="G40" s="41"/>
      <c r="H40" s="41"/>
      <c r="I40" s="42"/>
      <c r="J40" s="42"/>
      <c r="K40" s="42"/>
      <c r="L40" s="34" t="str">
        <f aca="false">IF(ISBLANK(B40),"",IF(SUM(G40:K40)&gt;0,"เพิ่มขึ้น","คงเดิม"))</f>
        <v/>
      </c>
      <c r="M40" s="34" t="str">
        <f aca="false">IF(ISBLANK(B40),"",IF(OR(H40&gt;0,J40&gt;0),"เพิ่มขึ้น","คงเดิม"))</f>
        <v/>
      </c>
      <c r="N40" s="35"/>
      <c r="O40" s="34" t="str">
        <f aca="false">IF(ISBLANK(B40),"",IF(LEN(B40)=13,IF(RIGHT(11-MOD(MID(B40,1,1)*13+MID(B40,2,1)*12+MID(B40,3,1)*11+MID(B40,4,1)*10+MID(B40,5,1)*9+MID(B40,6,1)*8+MID(B40,7,1)*7+MID(B40,8,1)*6+MID(B40,9,1)*5+MID(B40,10,1)*4+MID(B40,11,1)*3+MID(B40,12,1)*2,11))=RIGHT(B40),"ถูกต้อง","ผิด "),"ไม่ครบ13หลัก"))</f>
        <v/>
      </c>
      <c r="P40" s="34" t="str">
        <f aca="false">CONCATENATE(D40," ",E40)</f>
        <v> </v>
      </c>
      <c r="Q40" s="34"/>
      <c r="R40" s="37"/>
      <c r="AH40" s="11" t="s">
        <v>165</v>
      </c>
    </row>
    <row r="41" customFormat="false" ht="26.25" hidden="false" customHeight="true" outlineLevel="0" collapsed="false">
      <c r="A41" s="48"/>
      <c r="B41" s="40"/>
      <c r="C41" s="38"/>
      <c r="D41" s="38"/>
      <c r="E41" s="39"/>
      <c r="F41" s="39"/>
      <c r="G41" s="41"/>
      <c r="H41" s="41"/>
      <c r="I41" s="42"/>
      <c r="J41" s="42"/>
      <c r="K41" s="42"/>
      <c r="L41" s="34" t="str">
        <f aca="false">IF(ISBLANK(B41),"",IF(SUM(G41:K41)&gt;0,"เพิ่มขึ้น","คงเดิม"))</f>
        <v/>
      </c>
      <c r="M41" s="34" t="str">
        <f aca="false">IF(ISBLANK(B41),"",IF(OR(H41&gt;0,J41&gt;0),"เพิ่มขึ้น","คงเดิม"))</f>
        <v/>
      </c>
      <c r="N41" s="35"/>
      <c r="O41" s="34" t="str">
        <f aca="false">IF(ISBLANK(B41),"",IF(LEN(B41)=13,IF(RIGHT(11-MOD(MID(B41,1,1)*13+MID(B41,2,1)*12+MID(B41,3,1)*11+MID(B41,4,1)*10+MID(B41,5,1)*9+MID(B41,6,1)*8+MID(B41,7,1)*7+MID(B41,8,1)*6+MID(B41,9,1)*5+MID(B41,10,1)*4+MID(B41,11,1)*3+MID(B41,12,1)*2,11))=RIGHT(B41),"ถูกต้อง","ผิด "),"ไม่ครบ13หลัก"))</f>
        <v/>
      </c>
      <c r="P41" s="34" t="str">
        <f aca="false">CONCATENATE(D41," ",E41)</f>
        <v> </v>
      </c>
      <c r="Q41" s="34"/>
      <c r="R41" s="37"/>
      <c r="AH41" s="11" t="s">
        <v>166</v>
      </c>
    </row>
    <row r="42" customFormat="false" ht="26.25" hidden="false" customHeight="true" outlineLevel="0" collapsed="false">
      <c r="A42" s="48"/>
      <c r="B42" s="40"/>
      <c r="C42" s="38"/>
      <c r="D42" s="38"/>
      <c r="E42" s="39"/>
      <c r="F42" s="39"/>
      <c r="G42" s="41"/>
      <c r="H42" s="41"/>
      <c r="I42" s="42"/>
      <c r="J42" s="42"/>
      <c r="K42" s="42"/>
      <c r="L42" s="34" t="str">
        <f aca="false">IF(ISBLANK(B42),"",IF(SUM(G42:K42)&gt;0,"เพิ่มขึ้น","คงเดิม"))</f>
        <v/>
      </c>
      <c r="M42" s="34" t="str">
        <f aca="false">IF(ISBLANK(B42),"",IF(OR(H42&gt;0,J42&gt;0),"เพิ่มขึ้น","คงเดิม"))</f>
        <v/>
      </c>
      <c r="N42" s="35"/>
      <c r="O42" s="34" t="str">
        <f aca="false">IF(ISBLANK(B42),"",IF(LEN(B42)=13,IF(RIGHT(11-MOD(MID(B42,1,1)*13+MID(B42,2,1)*12+MID(B42,3,1)*11+MID(B42,4,1)*10+MID(B42,5,1)*9+MID(B42,6,1)*8+MID(B42,7,1)*7+MID(B42,8,1)*6+MID(B42,9,1)*5+MID(B42,10,1)*4+MID(B42,11,1)*3+MID(B42,12,1)*2,11))=RIGHT(B42),"ถูกต้อง","ผิด "),"ไม่ครบ13หลัก"))</f>
        <v/>
      </c>
      <c r="P42" s="34" t="str">
        <f aca="false">CONCATENATE(D42," ",E42)</f>
        <v> </v>
      </c>
      <c r="Q42" s="34"/>
      <c r="R42" s="37"/>
      <c r="AH42" s="11" t="s">
        <v>167</v>
      </c>
    </row>
    <row r="43" customFormat="false" ht="26.25" hidden="false" customHeight="true" outlineLevel="0" collapsed="false">
      <c r="A43" s="48"/>
      <c r="B43" s="40"/>
      <c r="C43" s="38"/>
      <c r="D43" s="38"/>
      <c r="E43" s="39"/>
      <c r="F43" s="39"/>
      <c r="G43" s="41"/>
      <c r="H43" s="41"/>
      <c r="I43" s="42"/>
      <c r="J43" s="42"/>
      <c r="K43" s="42"/>
      <c r="L43" s="34" t="str">
        <f aca="false">IF(ISBLANK(B43),"",IF(SUM(G43:K43)&gt;0,"เพิ่มขึ้น","คงเดิม"))</f>
        <v/>
      </c>
      <c r="M43" s="34" t="str">
        <f aca="false">IF(ISBLANK(B43),"",IF(OR(H43&gt;0,J43&gt;0),"เพิ่มขึ้น","คงเดิม"))</f>
        <v/>
      </c>
      <c r="N43" s="35"/>
      <c r="O43" s="34" t="str">
        <f aca="false">IF(ISBLANK(B43),"",IF(LEN(B43)=13,IF(RIGHT(11-MOD(MID(B43,1,1)*13+MID(B43,2,1)*12+MID(B43,3,1)*11+MID(B43,4,1)*10+MID(B43,5,1)*9+MID(B43,6,1)*8+MID(B43,7,1)*7+MID(B43,8,1)*6+MID(B43,9,1)*5+MID(B43,10,1)*4+MID(B43,11,1)*3+MID(B43,12,1)*2,11))=RIGHT(B43),"ถูกต้อง","ผิด "),"ไม่ครบ13หลัก"))</f>
        <v/>
      </c>
      <c r="P43" s="34" t="str">
        <f aca="false">CONCATENATE(D43," ",E43)</f>
        <v> </v>
      </c>
      <c r="Q43" s="34"/>
      <c r="R43" s="37"/>
      <c r="AH43" s="11" t="s">
        <v>168</v>
      </c>
    </row>
    <row r="44" customFormat="false" ht="26.25" hidden="false" customHeight="true" outlineLevel="0" collapsed="false">
      <c r="A44" s="48"/>
      <c r="B44" s="40"/>
      <c r="C44" s="38"/>
      <c r="D44" s="38"/>
      <c r="E44" s="39"/>
      <c r="F44" s="39"/>
      <c r="G44" s="41"/>
      <c r="H44" s="41"/>
      <c r="I44" s="42"/>
      <c r="J44" s="42"/>
      <c r="K44" s="42"/>
      <c r="L44" s="34" t="str">
        <f aca="false">IF(ISBLANK(B44),"",IF(SUM(G44:K44)&gt;0,"เพิ่มขึ้น","คงเดิม"))</f>
        <v/>
      </c>
      <c r="M44" s="34" t="str">
        <f aca="false">IF(ISBLANK(B44),"",IF(OR(H44&gt;0,J44&gt;0),"เพิ่มขึ้น","คงเดิม"))</f>
        <v/>
      </c>
      <c r="N44" s="35"/>
      <c r="O44" s="34" t="str">
        <f aca="false">IF(ISBLANK(B44),"",IF(LEN(B44)=13,IF(RIGHT(11-MOD(MID(B44,1,1)*13+MID(B44,2,1)*12+MID(B44,3,1)*11+MID(B44,4,1)*10+MID(B44,5,1)*9+MID(B44,6,1)*8+MID(B44,7,1)*7+MID(B44,8,1)*6+MID(B44,9,1)*5+MID(B44,10,1)*4+MID(B44,11,1)*3+MID(B44,12,1)*2,11))=RIGHT(B44),"ถูกต้อง","ผิด "),"ไม่ครบ13หลัก"))</f>
        <v/>
      </c>
      <c r="P44" s="34" t="str">
        <f aca="false">CONCATENATE(D44," ",E44)</f>
        <v> </v>
      </c>
      <c r="Q44" s="34"/>
      <c r="R44" s="37"/>
      <c r="AH44" s="11" t="s">
        <v>169</v>
      </c>
    </row>
    <row r="45" customFormat="false" ht="26.25" hidden="false" customHeight="true" outlineLevel="0" collapsed="false">
      <c r="A45" s="48"/>
      <c r="B45" s="40"/>
      <c r="C45" s="38"/>
      <c r="D45" s="38"/>
      <c r="E45" s="39"/>
      <c r="F45" s="39"/>
      <c r="G45" s="41"/>
      <c r="H45" s="41"/>
      <c r="I45" s="42"/>
      <c r="J45" s="42"/>
      <c r="K45" s="42"/>
      <c r="L45" s="34" t="str">
        <f aca="false">IF(ISBLANK(B45),"",IF(SUM(G45:K45)&gt;0,"เพิ่มขึ้น","คงเดิม"))</f>
        <v/>
      </c>
      <c r="M45" s="34" t="str">
        <f aca="false">IF(ISBLANK(B45),"",IF(OR(H45&gt;0,J45&gt;0),"เพิ่มขึ้น","คงเดิม"))</f>
        <v/>
      </c>
      <c r="N45" s="35"/>
      <c r="O45" s="34" t="str">
        <f aca="false">IF(ISBLANK(B45),"",IF(LEN(B45)=13,IF(RIGHT(11-MOD(MID(B45,1,1)*13+MID(B45,2,1)*12+MID(B45,3,1)*11+MID(B45,4,1)*10+MID(B45,5,1)*9+MID(B45,6,1)*8+MID(B45,7,1)*7+MID(B45,8,1)*6+MID(B45,9,1)*5+MID(B45,10,1)*4+MID(B45,11,1)*3+MID(B45,12,1)*2,11))=RIGHT(B45),"ถูกต้อง","ผิด "),"ไม่ครบ13หลัก"))</f>
        <v/>
      </c>
      <c r="P45" s="34" t="str">
        <f aca="false">CONCATENATE(D45," ",E45)</f>
        <v> </v>
      </c>
      <c r="Q45" s="34"/>
      <c r="R45" s="37"/>
      <c r="AH45" s="11" t="s">
        <v>170</v>
      </c>
    </row>
    <row r="46" customFormat="false" ht="26.25" hidden="false" customHeight="true" outlineLevel="0" collapsed="false">
      <c r="A46" s="48"/>
      <c r="B46" s="40"/>
      <c r="C46" s="38"/>
      <c r="D46" s="38"/>
      <c r="E46" s="39"/>
      <c r="F46" s="39"/>
      <c r="G46" s="41"/>
      <c r="H46" s="41"/>
      <c r="I46" s="42"/>
      <c r="J46" s="42"/>
      <c r="K46" s="42"/>
      <c r="L46" s="34" t="str">
        <f aca="false">IF(ISBLANK(B46),"",IF(SUM(G46:K46)&gt;0,"เพิ่มขึ้น","คงเดิม"))</f>
        <v/>
      </c>
      <c r="M46" s="34" t="str">
        <f aca="false">IF(ISBLANK(B46),"",IF(OR(H46&gt;0,J46&gt;0),"เพิ่มขึ้น","คงเดิม"))</f>
        <v/>
      </c>
      <c r="N46" s="35"/>
      <c r="O46" s="34" t="str">
        <f aca="false">IF(ISBLANK(B46),"",IF(LEN(B46)=13,IF(RIGHT(11-MOD(MID(B46,1,1)*13+MID(B46,2,1)*12+MID(B46,3,1)*11+MID(B46,4,1)*10+MID(B46,5,1)*9+MID(B46,6,1)*8+MID(B46,7,1)*7+MID(B46,8,1)*6+MID(B46,9,1)*5+MID(B46,10,1)*4+MID(B46,11,1)*3+MID(B46,12,1)*2,11))=RIGHT(B46),"ถูกต้อง","ผิด "),"ไม่ครบ13หลัก"))</f>
        <v/>
      </c>
      <c r="P46" s="34" t="str">
        <f aca="false">CONCATENATE(D46," ",E46)</f>
        <v> </v>
      </c>
      <c r="Q46" s="34"/>
      <c r="R46" s="37"/>
      <c r="AH46" s="11" t="s">
        <v>171</v>
      </c>
    </row>
    <row r="47" customFormat="false" ht="26.25" hidden="false" customHeight="true" outlineLevel="0" collapsed="false">
      <c r="A47" s="48"/>
      <c r="B47" s="40"/>
      <c r="C47" s="38"/>
      <c r="D47" s="38"/>
      <c r="E47" s="39"/>
      <c r="F47" s="39"/>
      <c r="G47" s="41"/>
      <c r="H47" s="41"/>
      <c r="I47" s="42"/>
      <c r="J47" s="42"/>
      <c r="K47" s="42"/>
      <c r="L47" s="34" t="str">
        <f aca="false">IF(ISBLANK(B47),"",IF(SUM(G47:K47)&gt;0,"เพิ่มขึ้น","คงเดิม"))</f>
        <v/>
      </c>
      <c r="M47" s="34" t="str">
        <f aca="false">IF(ISBLANK(B47),"",IF(OR(H47&gt;0,J47&gt;0),"เพิ่มขึ้น","คงเดิม"))</f>
        <v/>
      </c>
      <c r="N47" s="35"/>
      <c r="O47" s="34" t="str">
        <f aca="false">IF(ISBLANK(B47),"",IF(LEN(B47)=13,IF(RIGHT(11-MOD(MID(B47,1,1)*13+MID(B47,2,1)*12+MID(B47,3,1)*11+MID(B47,4,1)*10+MID(B47,5,1)*9+MID(B47,6,1)*8+MID(B47,7,1)*7+MID(B47,8,1)*6+MID(B47,9,1)*5+MID(B47,10,1)*4+MID(B47,11,1)*3+MID(B47,12,1)*2,11))=RIGHT(B47),"ถูกต้อง","ผิด "),"ไม่ครบ13หลัก"))</f>
        <v/>
      </c>
      <c r="P47" s="34" t="str">
        <f aca="false">CONCATENATE(D47," ",E47)</f>
        <v> </v>
      </c>
      <c r="Q47" s="34"/>
      <c r="R47" s="37"/>
      <c r="AH47" s="11" t="s">
        <v>172</v>
      </c>
    </row>
    <row r="48" customFormat="false" ht="26.25" hidden="false" customHeight="true" outlineLevel="0" collapsed="false">
      <c r="A48" s="48"/>
      <c r="B48" s="40"/>
      <c r="C48" s="38"/>
      <c r="D48" s="38"/>
      <c r="E48" s="39"/>
      <c r="F48" s="39"/>
      <c r="G48" s="41"/>
      <c r="H48" s="41"/>
      <c r="I48" s="42"/>
      <c r="J48" s="42"/>
      <c r="K48" s="42"/>
      <c r="L48" s="34" t="str">
        <f aca="false">IF(ISBLANK(B48),"",IF(SUM(G48:K48)&gt;0,"เพิ่มขึ้น","คงเดิม"))</f>
        <v/>
      </c>
      <c r="M48" s="34" t="str">
        <f aca="false">IF(ISBLANK(B48),"",IF(OR(H48&gt;0,J48&gt;0),"เพิ่มขึ้น","คงเดิม"))</f>
        <v/>
      </c>
      <c r="N48" s="35"/>
      <c r="O48" s="34" t="str">
        <f aca="false">IF(ISBLANK(B48),"",IF(LEN(B48)=13,IF(RIGHT(11-MOD(MID(B48,1,1)*13+MID(B48,2,1)*12+MID(B48,3,1)*11+MID(B48,4,1)*10+MID(B48,5,1)*9+MID(B48,6,1)*8+MID(B48,7,1)*7+MID(B48,8,1)*6+MID(B48,9,1)*5+MID(B48,10,1)*4+MID(B48,11,1)*3+MID(B48,12,1)*2,11))=RIGHT(B48),"ถูกต้อง","ผิด "),"ไม่ครบ13หลัก"))</f>
        <v/>
      </c>
      <c r="P48" s="34" t="str">
        <f aca="false">CONCATENATE(D48," ",E48)</f>
        <v> </v>
      </c>
      <c r="Q48" s="34"/>
      <c r="R48" s="37"/>
      <c r="AH48" s="11" t="s">
        <v>173</v>
      </c>
    </row>
    <row r="49" customFormat="false" ht="26.25" hidden="false" customHeight="true" outlineLevel="0" collapsed="false">
      <c r="A49" s="48"/>
      <c r="B49" s="40"/>
      <c r="C49" s="38"/>
      <c r="D49" s="38"/>
      <c r="E49" s="39"/>
      <c r="F49" s="39"/>
      <c r="G49" s="41"/>
      <c r="H49" s="41"/>
      <c r="I49" s="42"/>
      <c r="J49" s="42"/>
      <c r="K49" s="42"/>
      <c r="L49" s="34" t="str">
        <f aca="false">IF(ISBLANK(B49),"",IF(SUM(G49:K49)&gt;0,"เพิ่มขึ้น","คงเดิม"))</f>
        <v/>
      </c>
      <c r="M49" s="34" t="str">
        <f aca="false">IF(ISBLANK(B49),"",IF(OR(H49&gt;0,J49&gt;0),"เพิ่มขึ้น","คงเดิม"))</f>
        <v/>
      </c>
      <c r="N49" s="35"/>
      <c r="O49" s="34" t="str">
        <f aca="false">IF(ISBLANK(B49),"",IF(LEN(B49)=13,IF(RIGHT(11-MOD(MID(B49,1,1)*13+MID(B49,2,1)*12+MID(B49,3,1)*11+MID(B49,4,1)*10+MID(B49,5,1)*9+MID(B49,6,1)*8+MID(B49,7,1)*7+MID(B49,8,1)*6+MID(B49,9,1)*5+MID(B49,10,1)*4+MID(B49,11,1)*3+MID(B49,12,1)*2,11))=RIGHT(B49),"ถูกต้อง","ผิด "),"ไม่ครบ13หลัก"))</f>
        <v/>
      </c>
      <c r="P49" s="34" t="str">
        <f aca="false">CONCATENATE(D49," ",E49)</f>
        <v> </v>
      </c>
      <c r="Q49" s="34"/>
      <c r="R49" s="37"/>
      <c r="AH49" s="11" t="s">
        <v>174</v>
      </c>
    </row>
    <row r="50" customFormat="false" ht="26.25" hidden="false" customHeight="true" outlineLevel="0" collapsed="false">
      <c r="A50" s="48"/>
      <c r="B50" s="40"/>
      <c r="C50" s="38"/>
      <c r="D50" s="38"/>
      <c r="E50" s="39"/>
      <c r="F50" s="39"/>
      <c r="G50" s="41"/>
      <c r="H50" s="41"/>
      <c r="I50" s="42"/>
      <c r="J50" s="42"/>
      <c r="K50" s="42"/>
      <c r="L50" s="34" t="str">
        <f aca="false">IF(ISBLANK(B50),"",IF(SUM(G50:K50)&gt;0,"เพิ่มขึ้น","คงเดิม"))</f>
        <v/>
      </c>
      <c r="M50" s="34" t="str">
        <f aca="false">IF(ISBLANK(B50),"",IF(OR(H50&gt;0,J50&gt;0),"เพิ่มขึ้น","คงเดิม"))</f>
        <v/>
      </c>
      <c r="N50" s="35"/>
      <c r="O50" s="34" t="str">
        <f aca="false">IF(ISBLANK(B50),"",IF(LEN(B50)=13,IF(RIGHT(11-MOD(MID(B50,1,1)*13+MID(B50,2,1)*12+MID(B50,3,1)*11+MID(B50,4,1)*10+MID(B50,5,1)*9+MID(B50,6,1)*8+MID(B50,7,1)*7+MID(B50,8,1)*6+MID(B50,9,1)*5+MID(B50,10,1)*4+MID(B50,11,1)*3+MID(B50,12,1)*2,11))=RIGHT(B50),"ถูกต้อง","ผิด "),"ไม่ครบ13หลัก"))</f>
        <v/>
      </c>
      <c r="P50" s="34" t="str">
        <f aca="false">CONCATENATE(D50," ",E50)</f>
        <v> </v>
      </c>
      <c r="Q50" s="34"/>
      <c r="R50" s="37"/>
      <c r="AH50" s="11" t="s">
        <v>175</v>
      </c>
    </row>
    <row r="51" customFormat="false" ht="26.25" hidden="false" customHeight="true" outlineLevel="0" collapsed="false">
      <c r="A51" s="48"/>
      <c r="B51" s="40"/>
      <c r="C51" s="38"/>
      <c r="D51" s="38"/>
      <c r="E51" s="39"/>
      <c r="F51" s="39"/>
      <c r="G51" s="41"/>
      <c r="H51" s="41"/>
      <c r="I51" s="42"/>
      <c r="J51" s="42"/>
      <c r="K51" s="42"/>
      <c r="L51" s="34" t="str">
        <f aca="false">IF(ISBLANK(B51),"",IF(SUM(G51:K51)&gt;0,"เพิ่มขึ้น","คงเดิม"))</f>
        <v/>
      </c>
      <c r="M51" s="34" t="str">
        <f aca="false">IF(ISBLANK(B51),"",IF(OR(H51&gt;0,J51&gt;0),"เพิ่มขึ้น","คงเดิม"))</f>
        <v/>
      </c>
      <c r="N51" s="35"/>
      <c r="O51" s="34" t="str">
        <f aca="false">IF(ISBLANK(B51),"",IF(LEN(B51)=13,IF(RIGHT(11-MOD(MID(B51,1,1)*13+MID(B51,2,1)*12+MID(B51,3,1)*11+MID(B51,4,1)*10+MID(B51,5,1)*9+MID(B51,6,1)*8+MID(B51,7,1)*7+MID(B51,8,1)*6+MID(B51,9,1)*5+MID(B51,10,1)*4+MID(B51,11,1)*3+MID(B51,12,1)*2,11))=RIGHT(B51),"ถูกต้อง","ผิด "),"ไม่ครบ13หลัก"))</f>
        <v/>
      </c>
      <c r="P51" s="34" t="str">
        <f aca="false">CONCATENATE(D51," ",E51)</f>
        <v> </v>
      </c>
      <c r="Q51" s="34"/>
      <c r="R51" s="37"/>
      <c r="AH51" s="11" t="s">
        <v>176</v>
      </c>
    </row>
    <row r="52" customFormat="false" ht="26.25" hidden="false" customHeight="true" outlineLevel="0" collapsed="false">
      <c r="A52" s="48"/>
      <c r="B52" s="40"/>
      <c r="C52" s="38"/>
      <c r="D52" s="38"/>
      <c r="E52" s="39"/>
      <c r="F52" s="39"/>
      <c r="G52" s="41"/>
      <c r="H52" s="41"/>
      <c r="I52" s="42"/>
      <c r="J52" s="42"/>
      <c r="K52" s="42"/>
      <c r="L52" s="34" t="str">
        <f aca="false">IF(ISBLANK(B52),"",IF(SUM(G52:K52)&gt;0,"เพิ่มขึ้น","คงเดิม"))</f>
        <v/>
      </c>
      <c r="M52" s="34" t="str">
        <f aca="false">IF(ISBLANK(B52),"",IF(OR(H52&gt;0,J52&gt;0),"เพิ่มขึ้น","คงเดิม"))</f>
        <v/>
      </c>
      <c r="N52" s="35"/>
      <c r="O52" s="34" t="str">
        <f aca="false">IF(ISBLANK(B52),"",IF(LEN(B52)=13,IF(RIGHT(11-MOD(MID(B52,1,1)*13+MID(B52,2,1)*12+MID(B52,3,1)*11+MID(B52,4,1)*10+MID(B52,5,1)*9+MID(B52,6,1)*8+MID(B52,7,1)*7+MID(B52,8,1)*6+MID(B52,9,1)*5+MID(B52,10,1)*4+MID(B52,11,1)*3+MID(B52,12,1)*2,11))=RIGHT(B52),"ถูกต้อง","ผิด "),"ไม่ครบ13หลัก"))</f>
        <v/>
      </c>
      <c r="P52" s="34" t="str">
        <f aca="false">CONCATENATE(D52," ",E52)</f>
        <v> </v>
      </c>
      <c r="Q52" s="34"/>
      <c r="R52" s="37"/>
      <c r="AH52" s="11" t="s">
        <v>177</v>
      </c>
    </row>
    <row r="53" customFormat="false" ht="26.25" hidden="false" customHeight="true" outlineLevel="0" collapsed="false">
      <c r="A53" s="48"/>
      <c r="B53" s="40"/>
      <c r="C53" s="38"/>
      <c r="D53" s="38"/>
      <c r="E53" s="39"/>
      <c r="F53" s="39"/>
      <c r="G53" s="41"/>
      <c r="H53" s="41"/>
      <c r="I53" s="42"/>
      <c r="J53" s="42"/>
      <c r="K53" s="42"/>
      <c r="L53" s="34" t="str">
        <f aca="false">IF(ISBLANK(B53),"",IF(SUM(G53:K53)&gt;0,"เพิ่มขึ้น","คงเดิม"))</f>
        <v/>
      </c>
      <c r="M53" s="34" t="str">
        <f aca="false">IF(ISBLANK(B53),"",IF(OR(H53&gt;0,J53&gt;0),"เพิ่มขึ้น","คงเดิม"))</f>
        <v/>
      </c>
      <c r="N53" s="35"/>
      <c r="O53" s="34" t="str">
        <f aca="false">IF(ISBLANK(B53),"",IF(LEN(B53)=13,IF(RIGHT(11-MOD(MID(B53,1,1)*13+MID(B53,2,1)*12+MID(B53,3,1)*11+MID(B53,4,1)*10+MID(B53,5,1)*9+MID(B53,6,1)*8+MID(B53,7,1)*7+MID(B53,8,1)*6+MID(B53,9,1)*5+MID(B53,10,1)*4+MID(B53,11,1)*3+MID(B53,12,1)*2,11))=RIGHT(B53),"ถูกต้อง","ผิด "),"ไม่ครบ13หลัก"))</f>
        <v/>
      </c>
      <c r="P53" s="34" t="str">
        <f aca="false">CONCATENATE(D53," ",E53)</f>
        <v> </v>
      </c>
      <c r="Q53" s="34"/>
      <c r="R53" s="37"/>
      <c r="AH53" s="11" t="s">
        <v>178</v>
      </c>
    </row>
    <row r="54" customFormat="false" ht="26.25" hidden="false" customHeight="true" outlineLevel="0" collapsed="false">
      <c r="A54" s="48"/>
      <c r="B54" s="40"/>
      <c r="C54" s="38"/>
      <c r="D54" s="38"/>
      <c r="E54" s="39"/>
      <c r="F54" s="39"/>
      <c r="G54" s="41"/>
      <c r="H54" s="41"/>
      <c r="I54" s="42"/>
      <c r="J54" s="42"/>
      <c r="K54" s="42"/>
      <c r="L54" s="34" t="str">
        <f aca="false">IF(ISBLANK(B54),"",IF(SUM(G54:K54)&gt;0,"เพิ่มขึ้น","คงเดิม"))</f>
        <v/>
      </c>
      <c r="M54" s="34" t="str">
        <f aca="false">IF(ISBLANK(B54),"",IF(OR(H54&gt;0,J54&gt;0),"เพิ่มขึ้น","คงเดิม"))</f>
        <v/>
      </c>
      <c r="N54" s="35"/>
      <c r="O54" s="34" t="str">
        <f aca="false">IF(ISBLANK(B54),"",IF(LEN(B54)=13,IF(RIGHT(11-MOD(MID(B54,1,1)*13+MID(B54,2,1)*12+MID(B54,3,1)*11+MID(B54,4,1)*10+MID(B54,5,1)*9+MID(B54,6,1)*8+MID(B54,7,1)*7+MID(B54,8,1)*6+MID(B54,9,1)*5+MID(B54,10,1)*4+MID(B54,11,1)*3+MID(B54,12,1)*2,11))=RIGHT(B54),"ถูกต้อง","ผิด "),"ไม่ครบ13หลัก"))</f>
        <v/>
      </c>
      <c r="P54" s="34" t="str">
        <f aca="false">CONCATENATE(D54," ",E54)</f>
        <v> </v>
      </c>
      <c r="Q54" s="34"/>
      <c r="R54" s="37"/>
      <c r="AH54" s="11" t="s">
        <v>179</v>
      </c>
    </row>
    <row r="55" customFormat="false" ht="26.25" hidden="false" customHeight="true" outlineLevel="0" collapsed="false">
      <c r="A55" s="48"/>
      <c r="B55" s="40"/>
      <c r="C55" s="38"/>
      <c r="D55" s="38"/>
      <c r="E55" s="39"/>
      <c r="F55" s="39"/>
      <c r="G55" s="41"/>
      <c r="H55" s="41"/>
      <c r="I55" s="42"/>
      <c r="J55" s="42"/>
      <c r="K55" s="42"/>
      <c r="L55" s="34" t="str">
        <f aca="false">IF(ISBLANK(B55),"",IF(SUM(G55:K55)&gt;0,"เพิ่มขึ้น","คงเดิม"))</f>
        <v/>
      </c>
      <c r="M55" s="34" t="str">
        <f aca="false">IF(ISBLANK(B55),"",IF(OR(H55&gt;0,J55&gt;0),"เพิ่มขึ้น","คงเดิม"))</f>
        <v/>
      </c>
      <c r="N55" s="35"/>
      <c r="O55" s="34" t="str">
        <f aca="false">IF(ISBLANK(B55),"",IF(LEN(B55)=13,IF(RIGHT(11-MOD(MID(B55,1,1)*13+MID(B55,2,1)*12+MID(B55,3,1)*11+MID(B55,4,1)*10+MID(B55,5,1)*9+MID(B55,6,1)*8+MID(B55,7,1)*7+MID(B55,8,1)*6+MID(B55,9,1)*5+MID(B55,10,1)*4+MID(B55,11,1)*3+MID(B55,12,1)*2,11))=RIGHT(B55),"ถูกต้อง","ผิด "),"ไม่ครบ13หลัก"))</f>
        <v/>
      </c>
      <c r="P55" s="34" t="str">
        <f aca="false">CONCATENATE(D55," ",E55)</f>
        <v> </v>
      </c>
      <c r="Q55" s="34"/>
      <c r="R55" s="37"/>
      <c r="AH55" s="11" t="s">
        <v>180</v>
      </c>
    </row>
    <row r="56" customFormat="false" ht="26.25" hidden="false" customHeight="true" outlineLevel="0" collapsed="false">
      <c r="A56" s="48"/>
      <c r="B56" s="40"/>
      <c r="C56" s="38"/>
      <c r="D56" s="38"/>
      <c r="E56" s="39"/>
      <c r="F56" s="39"/>
      <c r="G56" s="41"/>
      <c r="H56" s="41"/>
      <c r="I56" s="42"/>
      <c r="J56" s="42"/>
      <c r="K56" s="42"/>
      <c r="L56" s="34" t="str">
        <f aca="false">IF(ISBLANK(B56),"",IF(SUM(G56:K56)&gt;0,"เพิ่มขึ้น","คงเดิม"))</f>
        <v/>
      </c>
      <c r="M56" s="34" t="str">
        <f aca="false">IF(ISBLANK(B56),"",IF(OR(H56&gt;0,J56&gt;0),"เพิ่มขึ้น","คงเดิม"))</f>
        <v/>
      </c>
      <c r="N56" s="35"/>
      <c r="O56" s="34" t="str">
        <f aca="false">IF(ISBLANK(B56),"",IF(LEN(B56)=13,IF(RIGHT(11-MOD(MID(B56,1,1)*13+MID(B56,2,1)*12+MID(B56,3,1)*11+MID(B56,4,1)*10+MID(B56,5,1)*9+MID(B56,6,1)*8+MID(B56,7,1)*7+MID(B56,8,1)*6+MID(B56,9,1)*5+MID(B56,10,1)*4+MID(B56,11,1)*3+MID(B56,12,1)*2,11))=RIGHT(B56),"ถูกต้อง","ผิด "),"ไม่ครบ13หลัก"))</f>
        <v/>
      </c>
      <c r="P56" s="34" t="str">
        <f aca="false">CONCATENATE(D56," ",E56)</f>
        <v> </v>
      </c>
      <c r="Q56" s="34"/>
      <c r="R56" s="37"/>
      <c r="AH56" s="11" t="s">
        <v>181</v>
      </c>
    </row>
    <row r="57" customFormat="false" ht="26.25" hidden="false" customHeight="true" outlineLevel="0" collapsed="false">
      <c r="A57" s="48"/>
      <c r="B57" s="40"/>
      <c r="C57" s="38"/>
      <c r="D57" s="38"/>
      <c r="E57" s="39"/>
      <c r="F57" s="39"/>
      <c r="G57" s="41"/>
      <c r="H57" s="41"/>
      <c r="I57" s="42"/>
      <c r="J57" s="42"/>
      <c r="K57" s="42"/>
      <c r="L57" s="34" t="str">
        <f aca="false">IF(ISBLANK(B57),"",IF(SUM(G57:K57)&gt;0,"เพิ่มขึ้น","คงเดิม"))</f>
        <v/>
      </c>
      <c r="M57" s="34" t="str">
        <f aca="false">IF(ISBLANK(B57),"",IF(OR(H57&gt;0,J57&gt;0),"เพิ่มขึ้น","คงเดิม"))</f>
        <v/>
      </c>
      <c r="N57" s="35"/>
      <c r="O57" s="34" t="str">
        <f aca="false">IF(ISBLANK(B57),"",IF(LEN(B57)=13,IF(RIGHT(11-MOD(MID(B57,1,1)*13+MID(B57,2,1)*12+MID(B57,3,1)*11+MID(B57,4,1)*10+MID(B57,5,1)*9+MID(B57,6,1)*8+MID(B57,7,1)*7+MID(B57,8,1)*6+MID(B57,9,1)*5+MID(B57,10,1)*4+MID(B57,11,1)*3+MID(B57,12,1)*2,11))=RIGHT(B57),"ถูกต้อง","ผิด "),"ไม่ครบ13หลัก"))</f>
        <v/>
      </c>
      <c r="P57" s="34" t="str">
        <f aca="false">CONCATENATE(D57," ",E57)</f>
        <v> </v>
      </c>
      <c r="Q57" s="34"/>
      <c r="R57" s="37"/>
      <c r="AH57" s="11" t="s">
        <v>182</v>
      </c>
    </row>
    <row r="58" customFormat="false" ht="26.25" hidden="false" customHeight="true" outlineLevel="0" collapsed="false">
      <c r="A58" s="48"/>
      <c r="B58" s="40"/>
      <c r="C58" s="38"/>
      <c r="D58" s="38"/>
      <c r="E58" s="39"/>
      <c r="F58" s="39"/>
      <c r="G58" s="41"/>
      <c r="H58" s="41"/>
      <c r="I58" s="42"/>
      <c r="J58" s="42"/>
      <c r="K58" s="42"/>
      <c r="L58" s="34" t="str">
        <f aca="false">IF(ISBLANK(B58),"",IF(SUM(G58:K58)&gt;0,"เพิ่มขึ้น","คงเดิม"))</f>
        <v/>
      </c>
      <c r="M58" s="34" t="str">
        <f aca="false">IF(ISBLANK(B58),"",IF(OR(H58&gt;0,J58&gt;0),"เพิ่มขึ้น","คงเดิม"))</f>
        <v/>
      </c>
      <c r="N58" s="35"/>
      <c r="O58" s="34" t="str">
        <f aca="false">IF(ISBLANK(B58),"",IF(LEN(B58)=13,IF(RIGHT(11-MOD(MID(B58,1,1)*13+MID(B58,2,1)*12+MID(B58,3,1)*11+MID(B58,4,1)*10+MID(B58,5,1)*9+MID(B58,6,1)*8+MID(B58,7,1)*7+MID(B58,8,1)*6+MID(B58,9,1)*5+MID(B58,10,1)*4+MID(B58,11,1)*3+MID(B58,12,1)*2,11))=RIGHT(B58),"ถูกต้อง","ผิด "),"ไม่ครบ13หลัก"))</f>
        <v/>
      </c>
      <c r="P58" s="34" t="str">
        <f aca="false">CONCATENATE(D58," ",E58)</f>
        <v> </v>
      </c>
      <c r="Q58" s="34"/>
      <c r="R58" s="37"/>
      <c r="AH58" s="11" t="s">
        <v>183</v>
      </c>
    </row>
    <row r="59" customFormat="false" ht="26.25" hidden="false" customHeight="true" outlineLevel="0" collapsed="false">
      <c r="A59" s="48"/>
      <c r="B59" s="40"/>
      <c r="C59" s="38"/>
      <c r="D59" s="38"/>
      <c r="E59" s="39"/>
      <c r="F59" s="39"/>
      <c r="G59" s="41"/>
      <c r="H59" s="41"/>
      <c r="I59" s="42"/>
      <c r="J59" s="42"/>
      <c r="K59" s="42"/>
      <c r="L59" s="34" t="str">
        <f aca="false">IF(ISBLANK(B59),"",IF(SUM(G59:K59)&gt;0,"เพิ่มขึ้น","คงเดิม"))</f>
        <v/>
      </c>
      <c r="M59" s="34" t="str">
        <f aca="false">IF(ISBLANK(B59),"",IF(OR(H59&gt;0,J59&gt;0),"เพิ่มขึ้น","คงเดิม"))</f>
        <v/>
      </c>
      <c r="N59" s="35"/>
      <c r="O59" s="34" t="str">
        <f aca="false">IF(ISBLANK(B59),"",IF(LEN(B59)=13,IF(RIGHT(11-MOD(MID(B59,1,1)*13+MID(B59,2,1)*12+MID(B59,3,1)*11+MID(B59,4,1)*10+MID(B59,5,1)*9+MID(B59,6,1)*8+MID(B59,7,1)*7+MID(B59,8,1)*6+MID(B59,9,1)*5+MID(B59,10,1)*4+MID(B59,11,1)*3+MID(B59,12,1)*2,11))=RIGHT(B59),"ถูกต้อง","ผิด "),"ไม่ครบ13หลัก"))</f>
        <v/>
      </c>
      <c r="P59" s="34" t="str">
        <f aca="false">CONCATENATE(D59," ",E59)</f>
        <v> </v>
      </c>
      <c r="Q59" s="34"/>
      <c r="R59" s="37"/>
      <c r="AH59" s="11" t="s">
        <v>184</v>
      </c>
    </row>
    <row r="60" customFormat="false" ht="26.25" hidden="false" customHeight="true" outlineLevel="0" collapsed="false">
      <c r="A60" s="48"/>
      <c r="B60" s="40"/>
      <c r="C60" s="38"/>
      <c r="D60" s="38"/>
      <c r="E60" s="39"/>
      <c r="F60" s="39"/>
      <c r="G60" s="41"/>
      <c r="H60" s="41"/>
      <c r="I60" s="42"/>
      <c r="J60" s="42"/>
      <c r="K60" s="42"/>
      <c r="L60" s="34" t="str">
        <f aca="false">IF(ISBLANK(B60),"",IF(SUM(G60:K60)&gt;0,"เพิ่มขึ้น","คงเดิม"))</f>
        <v/>
      </c>
      <c r="M60" s="34" t="str">
        <f aca="false">IF(ISBLANK(B60),"",IF(OR(H60&gt;0,J60&gt;0),"เพิ่มขึ้น","คงเดิม"))</f>
        <v/>
      </c>
      <c r="N60" s="35"/>
      <c r="O60" s="34" t="str">
        <f aca="false">IF(ISBLANK(B60),"",IF(LEN(B60)=13,IF(RIGHT(11-MOD(MID(B60,1,1)*13+MID(B60,2,1)*12+MID(B60,3,1)*11+MID(B60,4,1)*10+MID(B60,5,1)*9+MID(B60,6,1)*8+MID(B60,7,1)*7+MID(B60,8,1)*6+MID(B60,9,1)*5+MID(B60,10,1)*4+MID(B60,11,1)*3+MID(B60,12,1)*2,11))=RIGHT(B60),"ถูกต้อง","ผิด "),"ไม่ครบ13หลัก"))</f>
        <v/>
      </c>
      <c r="P60" s="34" t="str">
        <f aca="false">CONCATENATE(D60," ",E60)</f>
        <v> </v>
      </c>
      <c r="Q60" s="34"/>
      <c r="R60" s="37"/>
      <c r="AH60" s="11" t="s">
        <v>185</v>
      </c>
    </row>
    <row r="61" customFormat="false" ht="26.25" hidden="false" customHeight="true" outlineLevel="0" collapsed="false">
      <c r="A61" s="48"/>
      <c r="B61" s="40"/>
      <c r="C61" s="38"/>
      <c r="D61" s="38"/>
      <c r="E61" s="39"/>
      <c r="F61" s="39"/>
      <c r="G61" s="41"/>
      <c r="H61" s="41"/>
      <c r="I61" s="42"/>
      <c r="J61" s="42"/>
      <c r="K61" s="42"/>
      <c r="L61" s="34" t="str">
        <f aca="false">IF(ISBLANK(B61),"",IF(SUM(G61:K61)&gt;0,"เพิ่มขึ้น","คงเดิม"))</f>
        <v/>
      </c>
      <c r="M61" s="34" t="str">
        <f aca="false">IF(ISBLANK(B61),"",IF(OR(H61&gt;0,J61&gt;0),"เพิ่มขึ้น","คงเดิม"))</f>
        <v/>
      </c>
      <c r="N61" s="35"/>
      <c r="O61" s="34" t="str">
        <f aca="false">IF(ISBLANK(B61),"",IF(LEN(B61)=13,IF(RIGHT(11-MOD(MID(B61,1,1)*13+MID(B61,2,1)*12+MID(B61,3,1)*11+MID(B61,4,1)*10+MID(B61,5,1)*9+MID(B61,6,1)*8+MID(B61,7,1)*7+MID(B61,8,1)*6+MID(B61,9,1)*5+MID(B61,10,1)*4+MID(B61,11,1)*3+MID(B61,12,1)*2,11))=RIGHT(B61),"ถูกต้อง","ผิด "),"ไม่ครบ13หลัก"))</f>
        <v/>
      </c>
      <c r="P61" s="34" t="str">
        <f aca="false">CONCATENATE(D61," ",E61)</f>
        <v> </v>
      </c>
      <c r="Q61" s="34"/>
      <c r="R61" s="37"/>
      <c r="AH61" s="11" t="s">
        <v>186</v>
      </c>
    </row>
    <row r="62" customFormat="false" ht="26.25" hidden="false" customHeight="true" outlineLevel="0" collapsed="false">
      <c r="A62" s="48"/>
      <c r="B62" s="40"/>
      <c r="C62" s="38"/>
      <c r="D62" s="38"/>
      <c r="E62" s="39"/>
      <c r="F62" s="39"/>
      <c r="G62" s="41"/>
      <c r="H62" s="41"/>
      <c r="I62" s="42"/>
      <c r="J62" s="42"/>
      <c r="K62" s="42"/>
      <c r="L62" s="34" t="str">
        <f aca="false">IF(ISBLANK(B62),"",IF(SUM(G62:K62)&gt;0,"เพิ่มขึ้น","คงเดิม"))</f>
        <v/>
      </c>
      <c r="M62" s="34" t="str">
        <f aca="false">IF(ISBLANK(B62),"",IF(OR(H62&gt;0,J62&gt;0),"เพิ่มขึ้น","คงเดิม"))</f>
        <v/>
      </c>
      <c r="N62" s="35"/>
      <c r="O62" s="34" t="str">
        <f aca="false">IF(ISBLANK(B62),"",IF(LEN(B62)=13,IF(RIGHT(11-MOD(MID(B62,1,1)*13+MID(B62,2,1)*12+MID(B62,3,1)*11+MID(B62,4,1)*10+MID(B62,5,1)*9+MID(B62,6,1)*8+MID(B62,7,1)*7+MID(B62,8,1)*6+MID(B62,9,1)*5+MID(B62,10,1)*4+MID(B62,11,1)*3+MID(B62,12,1)*2,11))=RIGHT(B62),"ถูกต้อง","ผิด "),"ไม่ครบ13หลัก"))</f>
        <v/>
      </c>
      <c r="P62" s="34" t="str">
        <f aca="false">CONCATENATE(D62," ",E62)</f>
        <v> </v>
      </c>
      <c r="Q62" s="34"/>
      <c r="R62" s="37"/>
      <c r="AH62" s="11" t="s">
        <v>187</v>
      </c>
    </row>
    <row r="63" customFormat="false" ht="26.25" hidden="false" customHeight="true" outlineLevel="0" collapsed="false">
      <c r="A63" s="48"/>
      <c r="B63" s="40"/>
      <c r="C63" s="38"/>
      <c r="D63" s="38"/>
      <c r="E63" s="39"/>
      <c r="F63" s="39"/>
      <c r="G63" s="41"/>
      <c r="H63" s="41"/>
      <c r="I63" s="42"/>
      <c r="J63" s="42"/>
      <c r="K63" s="42"/>
      <c r="L63" s="34" t="str">
        <f aca="false">IF(ISBLANK(B63),"",IF(SUM(G63:K63)&gt;0,"เพิ่มขึ้น","คงเดิม"))</f>
        <v/>
      </c>
      <c r="M63" s="34" t="str">
        <f aca="false">IF(ISBLANK(B63),"",IF(OR(H63&gt;0,J63&gt;0),"เพิ่มขึ้น","คงเดิม"))</f>
        <v/>
      </c>
      <c r="N63" s="35"/>
      <c r="O63" s="34" t="str">
        <f aca="false">IF(ISBLANK(B63),"",IF(LEN(B63)=13,IF(RIGHT(11-MOD(MID(B63,1,1)*13+MID(B63,2,1)*12+MID(B63,3,1)*11+MID(B63,4,1)*10+MID(B63,5,1)*9+MID(B63,6,1)*8+MID(B63,7,1)*7+MID(B63,8,1)*6+MID(B63,9,1)*5+MID(B63,10,1)*4+MID(B63,11,1)*3+MID(B63,12,1)*2,11))=RIGHT(B63),"ถูกต้อง","ผิด "),"ไม่ครบ13หลัก"))</f>
        <v/>
      </c>
      <c r="P63" s="34" t="str">
        <f aca="false">CONCATENATE(D63," ",E63)</f>
        <v> </v>
      </c>
      <c r="Q63" s="34"/>
      <c r="R63" s="37"/>
      <c r="AH63" s="11" t="s">
        <v>188</v>
      </c>
    </row>
    <row r="64" customFormat="false" ht="26.25" hidden="false" customHeight="true" outlineLevel="0" collapsed="false">
      <c r="A64" s="48"/>
      <c r="B64" s="40"/>
      <c r="C64" s="38"/>
      <c r="D64" s="38"/>
      <c r="E64" s="39"/>
      <c r="F64" s="39"/>
      <c r="G64" s="41"/>
      <c r="H64" s="41"/>
      <c r="I64" s="42"/>
      <c r="J64" s="42"/>
      <c r="K64" s="42"/>
      <c r="L64" s="34" t="str">
        <f aca="false">IF(ISBLANK(B64),"",IF(SUM(G64:K64)&gt;0,"เพิ่มขึ้น","คงเดิม"))</f>
        <v/>
      </c>
      <c r="M64" s="34" t="str">
        <f aca="false">IF(ISBLANK(B64),"",IF(OR(H64&gt;0,J64&gt;0),"เพิ่มขึ้น","คงเดิม"))</f>
        <v/>
      </c>
      <c r="N64" s="35"/>
      <c r="O64" s="34" t="str">
        <f aca="false">IF(ISBLANK(B64),"",IF(LEN(B64)=13,IF(RIGHT(11-MOD(MID(B64,1,1)*13+MID(B64,2,1)*12+MID(B64,3,1)*11+MID(B64,4,1)*10+MID(B64,5,1)*9+MID(B64,6,1)*8+MID(B64,7,1)*7+MID(B64,8,1)*6+MID(B64,9,1)*5+MID(B64,10,1)*4+MID(B64,11,1)*3+MID(B64,12,1)*2,11))=RIGHT(B64),"ถูกต้อง","ผิด "),"ไม่ครบ13หลัก"))</f>
        <v/>
      </c>
      <c r="P64" s="34" t="str">
        <f aca="false">CONCATENATE(D64," ",E64)</f>
        <v> </v>
      </c>
      <c r="Q64" s="34"/>
      <c r="R64" s="37"/>
      <c r="AH64" s="11" t="s">
        <v>189</v>
      </c>
    </row>
    <row r="65" customFormat="false" ht="26.25" hidden="false" customHeight="true" outlineLevel="0" collapsed="false">
      <c r="A65" s="48"/>
      <c r="B65" s="40"/>
      <c r="C65" s="38"/>
      <c r="D65" s="38"/>
      <c r="E65" s="39"/>
      <c r="F65" s="39"/>
      <c r="G65" s="41"/>
      <c r="H65" s="41"/>
      <c r="I65" s="42"/>
      <c r="J65" s="42"/>
      <c r="K65" s="42"/>
      <c r="L65" s="34" t="str">
        <f aca="false">IF(ISBLANK(B65),"",IF(SUM(G65:K65)&gt;0,"เพิ่มขึ้น","คงเดิม"))</f>
        <v/>
      </c>
      <c r="M65" s="34" t="str">
        <f aca="false">IF(ISBLANK(B65),"",IF(OR(H65&gt;0,J65&gt;0),"เพิ่มขึ้น","คงเดิม"))</f>
        <v/>
      </c>
      <c r="N65" s="35"/>
      <c r="O65" s="34" t="str">
        <f aca="false">IF(ISBLANK(B65),"",IF(LEN(B65)=13,IF(RIGHT(11-MOD(MID(B65,1,1)*13+MID(B65,2,1)*12+MID(B65,3,1)*11+MID(B65,4,1)*10+MID(B65,5,1)*9+MID(B65,6,1)*8+MID(B65,7,1)*7+MID(B65,8,1)*6+MID(B65,9,1)*5+MID(B65,10,1)*4+MID(B65,11,1)*3+MID(B65,12,1)*2,11))=RIGHT(B65),"ถูกต้อง","ผิด "),"ไม่ครบ13หลัก"))</f>
        <v/>
      </c>
      <c r="P65" s="34" t="str">
        <f aca="false">CONCATENATE(D65," ",E65)</f>
        <v> </v>
      </c>
      <c r="Q65" s="34"/>
      <c r="R65" s="37"/>
      <c r="AH65" s="11" t="s">
        <v>190</v>
      </c>
    </row>
    <row r="66" customFormat="false" ht="26.25" hidden="false" customHeight="true" outlineLevel="0" collapsed="false">
      <c r="A66" s="48"/>
      <c r="B66" s="40"/>
      <c r="C66" s="38"/>
      <c r="D66" s="38"/>
      <c r="E66" s="39"/>
      <c r="F66" s="39"/>
      <c r="G66" s="41"/>
      <c r="H66" s="41"/>
      <c r="I66" s="42"/>
      <c r="J66" s="42"/>
      <c r="K66" s="42"/>
      <c r="L66" s="34" t="str">
        <f aca="false">IF(ISBLANK(B66),"",IF(SUM(G66:K66)&gt;0,"เพิ่มขึ้น","คงเดิม"))</f>
        <v/>
      </c>
      <c r="M66" s="34" t="str">
        <f aca="false">IF(ISBLANK(B66),"",IF(OR(H66&gt;0,J66&gt;0),"เพิ่มขึ้น","คงเดิม"))</f>
        <v/>
      </c>
      <c r="N66" s="35"/>
      <c r="O66" s="34" t="str">
        <f aca="false">IF(ISBLANK(B66),"",IF(LEN(B66)=13,IF(RIGHT(11-MOD(MID(B66,1,1)*13+MID(B66,2,1)*12+MID(B66,3,1)*11+MID(B66,4,1)*10+MID(B66,5,1)*9+MID(B66,6,1)*8+MID(B66,7,1)*7+MID(B66,8,1)*6+MID(B66,9,1)*5+MID(B66,10,1)*4+MID(B66,11,1)*3+MID(B66,12,1)*2,11))=RIGHT(B66),"ถูกต้อง","ผิด "),"ไม่ครบ13หลัก"))</f>
        <v/>
      </c>
      <c r="P66" s="34" t="str">
        <f aca="false">CONCATENATE(D66," ",E66)</f>
        <v> </v>
      </c>
      <c r="Q66" s="34"/>
      <c r="R66" s="37"/>
      <c r="AH66" s="11" t="s">
        <v>191</v>
      </c>
    </row>
    <row r="67" customFormat="false" ht="26.25" hidden="false" customHeight="true" outlineLevel="0" collapsed="false">
      <c r="A67" s="48"/>
      <c r="B67" s="40"/>
      <c r="C67" s="38"/>
      <c r="D67" s="38"/>
      <c r="E67" s="39"/>
      <c r="F67" s="39"/>
      <c r="G67" s="41"/>
      <c r="H67" s="41"/>
      <c r="I67" s="42"/>
      <c r="J67" s="42"/>
      <c r="K67" s="42"/>
      <c r="L67" s="34" t="str">
        <f aca="false">IF(ISBLANK(B67),"",IF(SUM(G67:K67)&gt;0,"เพิ่มขึ้น","คงเดิม"))</f>
        <v/>
      </c>
      <c r="M67" s="34" t="str">
        <f aca="false">IF(ISBLANK(B67),"",IF(OR(H67&gt;0,J67&gt;0),"เพิ่มขึ้น","คงเดิม"))</f>
        <v/>
      </c>
      <c r="N67" s="35"/>
      <c r="O67" s="34" t="str">
        <f aca="false">IF(ISBLANK(B67),"",IF(LEN(B67)=13,IF(RIGHT(11-MOD(MID(B67,1,1)*13+MID(B67,2,1)*12+MID(B67,3,1)*11+MID(B67,4,1)*10+MID(B67,5,1)*9+MID(B67,6,1)*8+MID(B67,7,1)*7+MID(B67,8,1)*6+MID(B67,9,1)*5+MID(B67,10,1)*4+MID(B67,11,1)*3+MID(B67,12,1)*2,11))=RIGHT(B67),"ถูกต้อง","ผิด "),"ไม่ครบ13หลัก"))</f>
        <v/>
      </c>
      <c r="P67" s="34" t="str">
        <f aca="false">CONCATENATE(D67," ",E67)</f>
        <v> </v>
      </c>
      <c r="Q67" s="34"/>
      <c r="R67" s="37"/>
      <c r="AH67" s="11" t="s">
        <v>192</v>
      </c>
    </row>
    <row r="68" customFormat="false" ht="26.25" hidden="false" customHeight="true" outlineLevel="0" collapsed="false">
      <c r="A68" s="48"/>
      <c r="B68" s="40"/>
      <c r="C68" s="38"/>
      <c r="D68" s="38"/>
      <c r="E68" s="39"/>
      <c r="F68" s="39"/>
      <c r="G68" s="41"/>
      <c r="H68" s="41"/>
      <c r="I68" s="42"/>
      <c r="J68" s="42"/>
      <c r="K68" s="42"/>
      <c r="L68" s="34" t="str">
        <f aca="false">IF(ISBLANK(B68),"",IF(SUM(G68:K68)&gt;0,"เพิ่มขึ้น","คงเดิม"))</f>
        <v/>
      </c>
      <c r="M68" s="34" t="str">
        <f aca="false">IF(ISBLANK(B68),"",IF(OR(H68&gt;0,J68&gt;0),"เพิ่มขึ้น","คงเดิม"))</f>
        <v/>
      </c>
      <c r="N68" s="35"/>
      <c r="O68" s="34" t="str">
        <f aca="false">IF(ISBLANK(B68),"",IF(LEN(B68)=13,IF(RIGHT(11-MOD(MID(B68,1,1)*13+MID(B68,2,1)*12+MID(B68,3,1)*11+MID(B68,4,1)*10+MID(B68,5,1)*9+MID(B68,6,1)*8+MID(B68,7,1)*7+MID(B68,8,1)*6+MID(B68,9,1)*5+MID(B68,10,1)*4+MID(B68,11,1)*3+MID(B68,12,1)*2,11))=RIGHT(B68),"ถูกต้อง","ผิด "),"ไม่ครบ13หลัก"))</f>
        <v/>
      </c>
      <c r="P68" s="34" t="str">
        <f aca="false">CONCATENATE(D68," ",E68)</f>
        <v> </v>
      </c>
      <c r="Q68" s="34"/>
      <c r="R68" s="37"/>
      <c r="AH68" s="11" t="s">
        <v>193</v>
      </c>
    </row>
    <row r="69" customFormat="false" ht="26.25" hidden="false" customHeight="true" outlineLevel="0" collapsed="false">
      <c r="A69" s="48"/>
      <c r="B69" s="40"/>
      <c r="C69" s="38"/>
      <c r="D69" s="38"/>
      <c r="E69" s="39"/>
      <c r="F69" s="39"/>
      <c r="G69" s="41"/>
      <c r="H69" s="41"/>
      <c r="I69" s="42"/>
      <c r="J69" s="42"/>
      <c r="K69" s="42"/>
      <c r="L69" s="34" t="str">
        <f aca="false">IF(ISBLANK(B69),"",IF(SUM(G69:K69)&gt;0,"เพิ่มขึ้น","คงเดิม"))</f>
        <v/>
      </c>
      <c r="M69" s="34" t="str">
        <f aca="false">IF(ISBLANK(B69),"",IF(OR(H69&gt;0,J69&gt;0),"เพิ่มขึ้น","คงเดิม"))</f>
        <v/>
      </c>
      <c r="N69" s="35"/>
      <c r="O69" s="34" t="str">
        <f aca="false">IF(ISBLANK(B69),"",IF(LEN(B69)=13,IF(RIGHT(11-MOD(MID(B69,1,1)*13+MID(B69,2,1)*12+MID(B69,3,1)*11+MID(B69,4,1)*10+MID(B69,5,1)*9+MID(B69,6,1)*8+MID(B69,7,1)*7+MID(B69,8,1)*6+MID(B69,9,1)*5+MID(B69,10,1)*4+MID(B69,11,1)*3+MID(B69,12,1)*2,11))=RIGHT(B69),"ถูกต้อง","ผิด "),"ไม่ครบ13หลัก"))</f>
        <v/>
      </c>
      <c r="P69" s="34" t="str">
        <f aca="false">CONCATENATE(D69," ",E69)</f>
        <v> </v>
      </c>
      <c r="Q69" s="34"/>
      <c r="R69" s="37"/>
      <c r="AH69" s="11" t="s">
        <v>194</v>
      </c>
    </row>
    <row r="70" customFormat="false" ht="26.25" hidden="false" customHeight="true" outlineLevel="0" collapsed="false">
      <c r="A70" s="48"/>
      <c r="B70" s="40"/>
      <c r="C70" s="38"/>
      <c r="D70" s="38"/>
      <c r="E70" s="39"/>
      <c r="F70" s="39"/>
      <c r="G70" s="41"/>
      <c r="H70" s="41"/>
      <c r="I70" s="42"/>
      <c r="J70" s="42"/>
      <c r="K70" s="42"/>
      <c r="L70" s="34" t="str">
        <f aca="false">IF(ISBLANK(B70),"",IF(SUM(G70:K70)&gt;0,"เพิ่มขึ้น","คงเดิม"))</f>
        <v/>
      </c>
      <c r="M70" s="34" t="str">
        <f aca="false">IF(ISBLANK(B70),"",IF(OR(H70&gt;0,J70&gt;0),"เพิ่มขึ้น","คงเดิม"))</f>
        <v/>
      </c>
      <c r="N70" s="35"/>
      <c r="O70" s="34" t="str">
        <f aca="false">IF(ISBLANK(B70),"",IF(LEN(B70)=13,IF(RIGHT(11-MOD(MID(B70,1,1)*13+MID(B70,2,1)*12+MID(B70,3,1)*11+MID(B70,4,1)*10+MID(B70,5,1)*9+MID(B70,6,1)*8+MID(B70,7,1)*7+MID(B70,8,1)*6+MID(B70,9,1)*5+MID(B70,10,1)*4+MID(B70,11,1)*3+MID(B70,12,1)*2,11))=RIGHT(B70),"ถูกต้อง","ผิด "),"ไม่ครบ13หลัก"))</f>
        <v/>
      </c>
      <c r="P70" s="34" t="str">
        <f aca="false">CONCATENATE(D70," ",E70)</f>
        <v> </v>
      </c>
      <c r="Q70" s="34"/>
      <c r="R70" s="37"/>
      <c r="AH70" s="11" t="s">
        <v>195</v>
      </c>
    </row>
    <row r="71" customFormat="false" ht="26.25" hidden="false" customHeight="true" outlineLevel="0" collapsed="false">
      <c r="A71" s="48"/>
      <c r="B71" s="40"/>
      <c r="C71" s="38"/>
      <c r="D71" s="38"/>
      <c r="E71" s="39"/>
      <c r="F71" s="39"/>
      <c r="G71" s="41"/>
      <c r="H71" s="41"/>
      <c r="I71" s="42"/>
      <c r="J71" s="42"/>
      <c r="K71" s="42"/>
      <c r="L71" s="34" t="str">
        <f aca="false">IF(ISBLANK(B71),"",IF(SUM(G71:K71)&gt;0,"เพิ่มขึ้น","คงเดิม"))</f>
        <v/>
      </c>
      <c r="M71" s="34" t="str">
        <f aca="false">IF(ISBLANK(B71),"",IF(OR(H71&gt;0,J71&gt;0),"เพิ่มขึ้น","คงเดิม"))</f>
        <v/>
      </c>
      <c r="N71" s="35"/>
      <c r="O71" s="34" t="str">
        <f aca="false">IF(ISBLANK(B71),"",IF(LEN(B71)=13,IF(RIGHT(11-MOD(MID(B71,1,1)*13+MID(B71,2,1)*12+MID(B71,3,1)*11+MID(B71,4,1)*10+MID(B71,5,1)*9+MID(B71,6,1)*8+MID(B71,7,1)*7+MID(B71,8,1)*6+MID(B71,9,1)*5+MID(B71,10,1)*4+MID(B71,11,1)*3+MID(B71,12,1)*2,11))=RIGHT(B71),"ถูกต้อง","ผิด "),"ไม่ครบ13หลัก"))</f>
        <v/>
      </c>
      <c r="P71" s="34" t="str">
        <f aca="false">CONCATENATE(D71," ",E71)</f>
        <v> </v>
      </c>
      <c r="Q71" s="34"/>
      <c r="R71" s="37"/>
      <c r="AH71" s="11" t="s">
        <v>196</v>
      </c>
    </row>
    <row r="72" customFormat="false" ht="26.25" hidden="false" customHeight="true" outlineLevel="0" collapsed="false">
      <c r="A72" s="48"/>
      <c r="B72" s="40"/>
      <c r="C72" s="38"/>
      <c r="D72" s="38"/>
      <c r="E72" s="39"/>
      <c r="F72" s="39"/>
      <c r="G72" s="41"/>
      <c r="H72" s="41"/>
      <c r="I72" s="42"/>
      <c r="J72" s="42"/>
      <c r="K72" s="42"/>
      <c r="L72" s="34" t="str">
        <f aca="false">IF(ISBLANK(B72),"",IF(SUM(G72:K72)&gt;0,"เพิ่มขึ้น","คงเดิม"))</f>
        <v/>
      </c>
      <c r="M72" s="34" t="str">
        <f aca="false">IF(ISBLANK(B72),"",IF(OR(H72&gt;0,J72&gt;0),"เพิ่มขึ้น","คงเดิม"))</f>
        <v/>
      </c>
      <c r="N72" s="35"/>
      <c r="O72" s="34" t="str">
        <f aca="false">IF(ISBLANK(B72),"",IF(LEN(B72)=13,IF(RIGHT(11-MOD(MID(B72,1,1)*13+MID(B72,2,1)*12+MID(B72,3,1)*11+MID(B72,4,1)*10+MID(B72,5,1)*9+MID(B72,6,1)*8+MID(B72,7,1)*7+MID(B72,8,1)*6+MID(B72,9,1)*5+MID(B72,10,1)*4+MID(B72,11,1)*3+MID(B72,12,1)*2,11))=RIGHT(B72),"ถูกต้อง","ผิด "),"ไม่ครบ13หลัก"))</f>
        <v/>
      </c>
      <c r="P72" s="34" t="str">
        <f aca="false">CONCATENATE(D72," ",E72)</f>
        <v> </v>
      </c>
      <c r="Q72" s="34"/>
      <c r="R72" s="37"/>
      <c r="AH72" s="11" t="s">
        <v>197</v>
      </c>
    </row>
    <row r="73" customFormat="false" ht="26.25" hidden="false" customHeight="true" outlineLevel="0" collapsed="false">
      <c r="A73" s="48"/>
      <c r="B73" s="40"/>
      <c r="C73" s="38"/>
      <c r="D73" s="38"/>
      <c r="E73" s="39"/>
      <c r="F73" s="39"/>
      <c r="G73" s="41"/>
      <c r="H73" s="41"/>
      <c r="I73" s="42"/>
      <c r="J73" s="42"/>
      <c r="K73" s="42"/>
      <c r="L73" s="34" t="str">
        <f aca="false">IF(ISBLANK(B73),"",IF(SUM(G73:K73)&gt;0,"เพิ่มขึ้น","คงเดิม"))</f>
        <v/>
      </c>
      <c r="M73" s="34" t="str">
        <f aca="false">IF(ISBLANK(B73),"",IF(OR(H73&gt;0,J73&gt;0),"เพิ่มขึ้น","คงเดิม"))</f>
        <v/>
      </c>
      <c r="N73" s="35"/>
      <c r="O73" s="34" t="str">
        <f aca="false">IF(ISBLANK(B73),"",IF(LEN(B73)=13,IF(RIGHT(11-MOD(MID(B73,1,1)*13+MID(B73,2,1)*12+MID(B73,3,1)*11+MID(B73,4,1)*10+MID(B73,5,1)*9+MID(B73,6,1)*8+MID(B73,7,1)*7+MID(B73,8,1)*6+MID(B73,9,1)*5+MID(B73,10,1)*4+MID(B73,11,1)*3+MID(B73,12,1)*2,11))=RIGHT(B73),"ถูกต้อง","ผิด "),"ไม่ครบ13หลัก"))</f>
        <v/>
      </c>
      <c r="P73" s="34" t="str">
        <f aca="false">CONCATENATE(D73," ",E73)</f>
        <v> </v>
      </c>
      <c r="Q73" s="34"/>
      <c r="R73" s="37"/>
      <c r="AH73" s="11" t="s">
        <v>198</v>
      </c>
    </row>
    <row r="74" customFormat="false" ht="26.25" hidden="false" customHeight="true" outlineLevel="0" collapsed="false">
      <c r="A74" s="48"/>
      <c r="B74" s="40"/>
      <c r="C74" s="38"/>
      <c r="D74" s="38"/>
      <c r="E74" s="39"/>
      <c r="F74" s="39"/>
      <c r="G74" s="41"/>
      <c r="H74" s="41"/>
      <c r="I74" s="42"/>
      <c r="J74" s="42"/>
      <c r="K74" s="42"/>
      <c r="L74" s="34" t="str">
        <f aca="false">IF(ISBLANK(B74),"",IF(SUM(G74:K74)&gt;0,"เพิ่มขึ้น","คงเดิม"))</f>
        <v/>
      </c>
      <c r="M74" s="34" t="str">
        <f aca="false">IF(ISBLANK(B74),"",IF(OR(H74&gt;0,J74&gt;0),"เพิ่มขึ้น","คงเดิม"))</f>
        <v/>
      </c>
      <c r="N74" s="35"/>
      <c r="O74" s="34" t="str">
        <f aca="false">IF(ISBLANK(B74),"",IF(LEN(B74)=13,IF(RIGHT(11-MOD(MID(B74,1,1)*13+MID(B74,2,1)*12+MID(B74,3,1)*11+MID(B74,4,1)*10+MID(B74,5,1)*9+MID(B74,6,1)*8+MID(B74,7,1)*7+MID(B74,8,1)*6+MID(B74,9,1)*5+MID(B74,10,1)*4+MID(B74,11,1)*3+MID(B74,12,1)*2,11))=RIGHT(B74),"ถูกต้อง","ผิด "),"ไม่ครบ13หลัก"))</f>
        <v/>
      </c>
      <c r="P74" s="34" t="str">
        <f aca="false">CONCATENATE(D74," ",E74)</f>
        <v> </v>
      </c>
      <c r="Q74" s="34"/>
      <c r="R74" s="37"/>
      <c r="AH74" s="11" t="s">
        <v>199</v>
      </c>
    </row>
    <row r="75" customFormat="false" ht="26.25" hidden="false" customHeight="true" outlineLevel="0" collapsed="false">
      <c r="A75" s="48"/>
      <c r="B75" s="40"/>
      <c r="C75" s="38"/>
      <c r="D75" s="38"/>
      <c r="E75" s="39"/>
      <c r="F75" s="39"/>
      <c r="G75" s="41"/>
      <c r="H75" s="41"/>
      <c r="I75" s="42"/>
      <c r="J75" s="42"/>
      <c r="K75" s="42"/>
      <c r="L75" s="34" t="str">
        <f aca="false">IF(ISBLANK(B75),"",IF(SUM(G75:K75)&gt;0,"เพิ่มขึ้น","คงเดิม"))</f>
        <v/>
      </c>
      <c r="M75" s="34" t="str">
        <f aca="false">IF(ISBLANK(B75),"",IF(OR(H75&gt;0,J75&gt;0),"เพิ่มขึ้น","คงเดิม"))</f>
        <v/>
      </c>
      <c r="N75" s="35"/>
      <c r="O75" s="34" t="str">
        <f aca="false">IF(ISBLANK(B75),"",IF(LEN(B75)=13,IF(RIGHT(11-MOD(MID(B75,1,1)*13+MID(B75,2,1)*12+MID(B75,3,1)*11+MID(B75,4,1)*10+MID(B75,5,1)*9+MID(B75,6,1)*8+MID(B75,7,1)*7+MID(B75,8,1)*6+MID(B75,9,1)*5+MID(B75,10,1)*4+MID(B75,11,1)*3+MID(B75,12,1)*2,11))=RIGHT(B75),"ถูกต้อง","ผิด "),"ไม่ครบ13หลัก"))</f>
        <v/>
      </c>
      <c r="P75" s="34" t="str">
        <f aca="false">CONCATENATE(D75," ",E75)</f>
        <v> </v>
      </c>
      <c r="Q75" s="34"/>
      <c r="R75" s="37"/>
      <c r="AH75" s="11" t="s">
        <v>200</v>
      </c>
    </row>
    <row r="76" customFormat="false" ht="26.25" hidden="false" customHeight="true" outlineLevel="0" collapsed="false">
      <c r="A76" s="48"/>
      <c r="B76" s="40"/>
      <c r="C76" s="38"/>
      <c r="D76" s="38"/>
      <c r="E76" s="39"/>
      <c r="F76" s="39"/>
      <c r="G76" s="41"/>
      <c r="H76" s="41"/>
      <c r="I76" s="42"/>
      <c r="J76" s="42"/>
      <c r="K76" s="42"/>
      <c r="L76" s="34" t="str">
        <f aca="false">IF(ISBLANK(B76),"",IF(SUM(G76:K76)&gt;0,"เพิ่มขึ้น","คงเดิม"))</f>
        <v/>
      </c>
      <c r="M76" s="34" t="str">
        <f aca="false">IF(ISBLANK(B76),"",IF(OR(H76&gt;0,J76&gt;0),"เพิ่มขึ้น","คงเดิม"))</f>
        <v/>
      </c>
      <c r="N76" s="35"/>
      <c r="O76" s="34" t="str">
        <f aca="false">IF(ISBLANK(B76),"",IF(LEN(B76)=13,IF(RIGHT(11-MOD(MID(B76,1,1)*13+MID(B76,2,1)*12+MID(B76,3,1)*11+MID(B76,4,1)*10+MID(B76,5,1)*9+MID(B76,6,1)*8+MID(B76,7,1)*7+MID(B76,8,1)*6+MID(B76,9,1)*5+MID(B76,10,1)*4+MID(B76,11,1)*3+MID(B76,12,1)*2,11))=RIGHT(B76),"ถูกต้อง","ผิด "),"ไม่ครบ13หลัก"))</f>
        <v/>
      </c>
      <c r="P76" s="34" t="str">
        <f aca="false">CONCATENATE(D76," ",E76)</f>
        <v> </v>
      </c>
      <c r="Q76" s="34"/>
      <c r="R76" s="37"/>
      <c r="AH76" s="11" t="s">
        <v>201</v>
      </c>
    </row>
    <row r="77" customFormat="false" ht="26.25" hidden="false" customHeight="true" outlineLevel="0" collapsed="false">
      <c r="A77" s="48"/>
      <c r="B77" s="40"/>
      <c r="C77" s="38"/>
      <c r="D77" s="38"/>
      <c r="E77" s="39"/>
      <c r="F77" s="39"/>
      <c r="G77" s="41"/>
      <c r="H77" s="41"/>
      <c r="I77" s="42"/>
      <c r="J77" s="42"/>
      <c r="K77" s="42"/>
      <c r="L77" s="34" t="str">
        <f aca="false">IF(ISBLANK(B77),"",IF(SUM(G77:K77)&gt;0,"เพิ่มขึ้น","คงเดิม"))</f>
        <v/>
      </c>
      <c r="M77" s="34" t="str">
        <f aca="false">IF(ISBLANK(B77),"",IF(OR(H77&gt;0,J77&gt;0),"เพิ่มขึ้น","คงเดิม"))</f>
        <v/>
      </c>
      <c r="N77" s="35"/>
      <c r="O77" s="34" t="str">
        <f aca="false">IF(ISBLANK(B77),"",IF(LEN(B77)=13,IF(RIGHT(11-MOD(MID(B77,1,1)*13+MID(B77,2,1)*12+MID(B77,3,1)*11+MID(B77,4,1)*10+MID(B77,5,1)*9+MID(B77,6,1)*8+MID(B77,7,1)*7+MID(B77,8,1)*6+MID(B77,9,1)*5+MID(B77,10,1)*4+MID(B77,11,1)*3+MID(B77,12,1)*2,11))=RIGHT(B77),"ถูกต้อง","ผิด "),"ไม่ครบ13หลัก"))</f>
        <v/>
      </c>
      <c r="P77" s="34" t="str">
        <f aca="false">CONCATENATE(D77," ",E77)</f>
        <v> </v>
      </c>
      <c r="Q77" s="34"/>
      <c r="R77" s="37"/>
      <c r="AH77" s="11" t="s">
        <v>202</v>
      </c>
    </row>
    <row r="78" customFormat="false" ht="26.25" hidden="false" customHeight="true" outlineLevel="0" collapsed="false">
      <c r="A78" s="48"/>
      <c r="B78" s="40"/>
      <c r="C78" s="38"/>
      <c r="D78" s="38"/>
      <c r="E78" s="39"/>
      <c r="F78" s="39"/>
      <c r="G78" s="41"/>
      <c r="H78" s="41"/>
      <c r="I78" s="42"/>
      <c r="J78" s="42"/>
      <c r="K78" s="42"/>
      <c r="L78" s="34" t="str">
        <f aca="false">IF(ISBLANK(B78),"",IF(SUM(G78:K78)&gt;0,"เพิ่มขึ้น","คงเดิม"))</f>
        <v/>
      </c>
      <c r="M78" s="34" t="str">
        <f aca="false">IF(ISBLANK(B78),"",IF(OR(H78&gt;0,J78&gt;0),"เพิ่มขึ้น","คงเดิม"))</f>
        <v/>
      </c>
      <c r="N78" s="35"/>
      <c r="O78" s="34" t="str">
        <f aca="false">IF(ISBLANK(B78),"",IF(LEN(B78)=13,IF(RIGHT(11-MOD(MID(B78,1,1)*13+MID(B78,2,1)*12+MID(B78,3,1)*11+MID(B78,4,1)*10+MID(B78,5,1)*9+MID(B78,6,1)*8+MID(B78,7,1)*7+MID(B78,8,1)*6+MID(B78,9,1)*5+MID(B78,10,1)*4+MID(B78,11,1)*3+MID(B78,12,1)*2,11))=RIGHT(B78),"ถูกต้อง","ผิด "),"ไม่ครบ13หลัก"))</f>
        <v/>
      </c>
      <c r="P78" s="34" t="str">
        <f aca="false">CONCATENATE(D78," ",E78)</f>
        <v> </v>
      </c>
      <c r="Q78" s="34"/>
      <c r="R78" s="37"/>
      <c r="AH78" s="11" t="s">
        <v>203</v>
      </c>
    </row>
    <row r="79" customFormat="false" ht="26.25" hidden="false" customHeight="true" outlineLevel="0" collapsed="false">
      <c r="A79" s="48"/>
      <c r="B79" s="40"/>
      <c r="C79" s="38"/>
      <c r="D79" s="38"/>
      <c r="E79" s="39"/>
      <c r="F79" s="39"/>
      <c r="G79" s="41"/>
      <c r="H79" s="41"/>
      <c r="I79" s="42"/>
      <c r="J79" s="42"/>
      <c r="K79" s="42"/>
      <c r="L79" s="34" t="str">
        <f aca="false">IF(ISBLANK(B79),"",IF(SUM(G79:K79)&gt;0,"เพิ่มขึ้น","คงเดิม"))</f>
        <v/>
      </c>
      <c r="M79" s="34" t="str">
        <f aca="false">IF(ISBLANK(B79),"",IF(OR(H79&gt;0,J79&gt;0),"เพิ่มขึ้น","คงเดิม"))</f>
        <v/>
      </c>
      <c r="N79" s="35"/>
      <c r="O79" s="34" t="str">
        <f aca="false">IF(ISBLANK(B79),"",IF(LEN(B79)=13,IF(RIGHT(11-MOD(MID(B79,1,1)*13+MID(B79,2,1)*12+MID(B79,3,1)*11+MID(B79,4,1)*10+MID(B79,5,1)*9+MID(B79,6,1)*8+MID(B79,7,1)*7+MID(B79,8,1)*6+MID(B79,9,1)*5+MID(B79,10,1)*4+MID(B79,11,1)*3+MID(B79,12,1)*2,11))=RIGHT(B79),"ถูกต้อง","ผิด "),"ไม่ครบ13หลัก"))</f>
        <v/>
      </c>
      <c r="P79" s="34" t="str">
        <f aca="false">CONCATENATE(D79," ",E79)</f>
        <v> </v>
      </c>
      <c r="Q79" s="34"/>
      <c r="R79" s="37"/>
      <c r="AH79" s="11" t="s">
        <v>204</v>
      </c>
    </row>
    <row r="80" customFormat="false" ht="26.25" hidden="false" customHeight="true" outlineLevel="0" collapsed="false">
      <c r="A80" s="48"/>
      <c r="B80" s="40"/>
      <c r="C80" s="38"/>
      <c r="D80" s="38"/>
      <c r="E80" s="39"/>
      <c r="F80" s="39"/>
      <c r="G80" s="41"/>
      <c r="H80" s="41"/>
      <c r="I80" s="42"/>
      <c r="J80" s="42"/>
      <c r="K80" s="42"/>
      <c r="L80" s="34" t="str">
        <f aca="false">IF(ISBLANK(B80),"",IF(SUM(G80:K80)&gt;0,"เพิ่มขึ้น","คงเดิม"))</f>
        <v/>
      </c>
      <c r="M80" s="34" t="str">
        <f aca="false">IF(ISBLANK(B80),"",IF(OR(H80&gt;0,J80&gt;0),"เพิ่มขึ้น","คงเดิม"))</f>
        <v/>
      </c>
      <c r="N80" s="35"/>
      <c r="O80" s="34" t="str">
        <f aca="false">IF(ISBLANK(B80),"",IF(LEN(B80)=13,IF(RIGHT(11-MOD(MID(B80,1,1)*13+MID(B80,2,1)*12+MID(B80,3,1)*11+MID(B80,4,1)*10+MID(B80,5,1)*9+MID(B80,6,1)*8+MID(B80,7,1)*7+MID(B80,8,1)*6+MID(B80,9,1)*5+MID(B80,10,1)*4+MID(B80,11,1)*3+MID(B80,12,1)*2,11))=RIGHT(B80),"ถูกต้อง","ผิด "),"ไม่ครบ13หลัก"))</f>
        <v/>
      </c>
      <c r="P80" s="34" t="str">
        <f aca="false">CONCATENATE(D80," ",E80)</f>
        <v> </v>
      </c>
      <c r="Q80" s="34"/>
      <c r="R80" s="37"/>
      <c r="AH80" s="11" t="s">
        <v>205</v>
      </c>
    </row>
    <row r="81" customFormat="false" ht="26.25" hidden="false" customHeight="true" outlineLevel="0" collapsed="false">
      <c r="A81" s="48"/>
      <c r="B81" s="40"/>
      <c r="C81" s="38"/>
      <c r="D81" s="38"/>
      <c r="E81" s="39"/>
      <c r="F81" s="39"/>
      <c r="G81" s="41"/>
      <c r="H81" s="41"/>
      <c r="I81" s="42"/>
      <c r="J81" s="42"/>
      <c r="K81" s="42"/>
      <c r="L81" s="34" t="str">
        <f aca="false">IF(ISBLANK(B81),"",IF(SUM(G81:K81)&gt;0,"เพิ่มขึ้น","คงเดิม"))</f>
        <v/>
      </c>
      <c r="M81" s="34" t="str">
        <f aca="false">IF(ISBLANK(B81),"",IF(OR(H81&gt;0,J81&gt;0),"เพิ่มขึ้น","คงเดิม"))</f>
        <v/>
      </c>
      <c r="N81" s="35"/>
      <c r="O81" s="34" t="str">
        <f aca="false">IF(ISBLANK(B81),"",IF(LEN(B81)=13,IF(RIGHT(11-MOD(MID(B81,1,1)*13+MID(B81,2,1)*12+MID(B81,3,1)*11+MID(B81,4,1)*10+MID(B81,5,1)*9+MID(B81,6,1)*8+MID(B81,7,1)*7+MID(B81,8,1)*6+MID(B81,9,1)*5+MID(B81,10,1)*4+MID(B81,11,1)*3+MID(B81,12,1)*2,11))=RIGHT(B81),"ถูกต้อง","ผิด "),"ไม่ครบ13หลัก"))</f>
        <v/>
      </c>
      <c r="P81" s="34" t="str">
        <f aca="false">CONCATENATE(D81," ",E81)</f>
        <v> </v>
      </c>
      <c r="Q81" s="34"/>
      <c r="R81" s="37"/>
      <c r="AH81" s="11" t="s">
        <v>206</v>
      </c>
    </row>
    <row r="82" customFormat="false" ht="26.25" hidden="false" customHeight="true" outlineLevel="0" collapsed="false">
      <c r="A82" s="48"/>
      <c r="B82" s="40"/>
      <c r="C82" s="38"/>
      <c r="D82" s="38"/>
      <c r="E82" s="39"/>
      <c r="F82" s="39"/>
      <c r="G82" s="41"/>
      <c r="H82" s="41"/>
      <c r="I82" s="42"/>
      <c r="J82" s="42"/>
      <c r="K82" s="42"/>
      <c r="L82" s="34" t="str">
        <f aca="false">IF(ISBLANK(B82),"",IF(SUM(G82:K82)&gt;0,"เพิ่มขึ้น","คงเดิม"))</f>
        <v/>
      </c>
      <c r="M82" s="34" t="str">
        <f aca="false">IF(ISBLANK(B82),"",IF(OR(H82&gt;0,J82&gt;0),"เพิ่มขึ้น","คงเดิม"))</f>
        <v/>
      </c>
      <c r="N82" s="35"/>
      <c r="O82" s="34" t="str">
        <f aca="false">IF(ISBLANK(B82),"",IF(LEN(B82)=13,IF(RIGHT(11-MOD(MID(B82,1,1)*13+MID(B82,2,1)*12+MID(B82,3,1)*11+MID(B82,4,1)*10+MID(B82,5,1)*9+MID(B82,6,1)*8+MID(B82,7,1)*7+MID(B82,8,1)*6+MID(B82,9,1)*5+MID(B82,10,1)*4+MID(B82,11,1)*3+MID(B82,12,1)*2,11))=RIGHT(B82),"ถูกต้อง","ผิด "),"ไม่ครบ13หลัก"))</f>
        <v/>
      </c>
      <c r="P82" s="34" t="str">
        <f aca="false">CONCATENATE(D82," ",E82)</f>
        <v> </v>
      </c>
      <c r="Q82" s="34"/>
      <c r="R82" s="37"/>
      <c r="AH82" s="11" t="s">
        <v>207</v>
      </c>
    </row>
    <row r="83" customFormat="false" ht="26.25" hidden="false" customHeight="true" outlineLevel="0" collapsed="false">
      <c r="A83" s="48"/>
      <c r="B83" s="40"/>
      <c r="C83" s="38"/>
      <c r="D83" s="38"/>
      <c r="E83" s="39"/>
      <c r="F83" s="39"/>
      <c r="G83" s="41"/>
      <c r="H83" s="41"/>
      <c r="I83" s="42"/>
      <c r="J83" s="42"/>
      <c r="K83" s="42"/>
      <c r="L83" s="34" t="str">
        <f aca="false">IF(ISBLANK(B83),"",IF(SUM(G83:K83)&gt;0,"เพิ่มขึ้น","คงเดิม"))</f>
        <v/>
      </c>
      <c r="M83" s="34" t="str">
        <f aca="false">IF(ISBLANK(B83),"",IF(OR(H83&gt;0,J83&gt;0),"เพิ่มขึ้น","คงเดิม"))</f>
        <v/>
      </c>
      <c r="N83" s="35"/>
      <c r="O83" s="34" t="str">
        <f aca="false">IF(ISBLANK(B83),"",IF(LEN(B83)=13,IF(RIGHT(11-MOD(MID(B83,1,1)*13+MID(B83,2,1)*12+MID(B83,3,1)*11+MID(B83,4,1)*10+MID(B83,5,1)*9+MID(B83,6,1)*8+MID(B83,7,1)*7+MID(B83,8,1)*6+MID(B83,9,1)*5+MID(B83,10,1)*4+MID(B83,11,1)*3+MID(B83,12,1)*2,11))=RIGHT(B83),"ถูกต้อง","ผิด "),"ไม่ครบ13หลัก"))</f>
        <v/>
      </c>
      <c r="P83" s="34" t="str">
        <f aca="false">CONCATENATE(D83," ",E83)</f>
        <v> </v>
      </c>
      <c r="Q83" s="34"/>
      <c r="R83" s="37"/>
      <c r="AH83" s="11" t="s">
        <v>208</v>
      </c>
    </row>
    <row r="84" customFormat="false" ht="26.25" hidden="false" customHeight="true" outlineLevel="0" collapsed="false">
      <c r="A84" s="48"/>
      <c r="B84" s="40"/>
      <c r="C84" s="38"/>
      <c r="D84" s="38"/>
      <c r="E84" s="39"/>
      <c r="F84" s="39"/>
      <c r="G84" s="41"/>
      <c r="H84" s="41"/>
      <c r="I84" s="42"/>
      <c r="J84" s="42"/>
      <c r="K84" s="42"/>
      <c r="L84" s="34" t="str">
        <f aca="false">IF(ISBLANK(B84),"",IF(SUM(G84:K84)&gt;0,"เพิ่มขึ้น","คงเดิม"))</f>
        <v/>
      </c>
      <c r="M84" s="34" t="str">
        <f aca="false">IF(ISBLANK(B84),"",IF(OR(H84&gt;0,J84&gt;0),"เพิ่มขึ้น","คงเดิม"))</f>
        <v/>
      </c>
      <c r="N84" s="35"/>
      <c r="O84" s="34" t="str">
        <f aca="false">IF(ISBLANK(B84),"",IF(LEN(B84)=13,IF(RIGHT(11-MOD(MID(B84,1,1)*13+MID(B84,2,1)*12+MID(B84,3,1)*11+MID(B84,4,1)*10+MID(B84,5,1)*9+MID(B84,6,1)*8+MID(B84,7,1)*7+MID(B84,8,1)*6+MID(B84,9,1)*5+MID(B84,10,1)*4+MID(B84,11,1)*3+MID(B84,12,1)*2,11))=RIGHT(B84),"ถูกต้อง","ผิด "),"ไม่ครบ13หลัก"))</f>
        <v/>
      </c>
      <c r="P84" s="34" t="str">
        <f aca="false">CONCATENATE(D84," ",E84)</f>
        <v> </v>
      </c>
      <c r="Q84" s="34"/>
      <c r="R84" s="37"/>
      <c r="AH84" s="11" t="s">
        <v>209</v>
      </c>
    </row>
    <row r="85" customFormat="false" ht="26.25" hidden="false" customHeight="true" outlineLevel="0" collapsed="false">
      <c r="A85" s="48"/>
      <c r="B85" s="40"/>
      <c r="C85" s="38"/>
      <c r="D85" s="38"/>
      <c r="E85" s="39"/>
      <c r="F85" s="39"/>
      <c r="G85" s="41"/>
      <c r="H85" s="41"/>
      <c r="I85" s="42"/>
      <c r="J85" s="42"/>
      <c r="K85" s="42"/>
      <c r="L85" s="34" t="str">
        <f aca="false">IF(ISBLANK(B85),"",IF(SUM(G85:K85)&gt;0,"เพิ่มขึ้น","คงเดิม"))</f>
        <v/>
      </c>
      <c r="M85" s="34" t="str">
        <f aca="false">IF(ISBLANK(B85),"",IF(OR(H85&gt;0,J85&gt;0),"เพิ่มขึ้น","คงเดิม"))</f>
        <v/>
      </c>
      <c r="N85" s="35"/>
      <c r="O85" s="34" t="str">
        <f aca="false">IF(ISBLANK(B85),"",IF(LEN(B85)=13,IF(RIGHT(11-MOD(MID(B85,1,1)*13+MID(B85,2,1)*12+MID(B85,3,1)*11+MID(B85,4,1)*10+MID(B85,5,1)*9+MID(B85,6,1)*8+MID(B85,7,1)*7+MID(B85,8,1)*6+MID(B85,9,1)*5+MID(B85,10,1)*4+MID(B85,11,1)*3+MID(B85,12,1)*2,11))=RIGHT(B85),"ถูกต้อง","ผิด "),"ไม่ครบ13หลัก"))</f>
        <v/>
      </c>
      <c r="P85" s="34" t="str">
        <f aca="false">CONCATENATE(D85," ",E85)</f>
        <v> </v>
      </c>
      <c r="Q85" s="34"/>
      <c r="R85" s="37"/>
      <c r="AH85" s="11" t="s">
        <v>210</v>
      </c>
    </row>
    <row r="86" customFormat="false" ht="26.25" hidden="false" customHeight="true" outlineLevel="0" collapsed="false">
      <c r="A86" s="48"/>
      <c r="B86" s="40"/>
      <c r="C86" s="38"/>
      <c r="D86" s="38"/>
      <c r="E86" s="39"/>
      <c r="F86" s="39"/>
      <c r="G86" s="41"/>
      <c r="H86" s="41"/>
      <c r="I86" s="42"/>
      <c r="J86" s="42"/>
      <c r="K86" s="42"/>
      <c r="L86" s="34" t="str">
        <f aca="false">IF(ISBLANK(B86),"",IF(SUM(G86:K86)&gt;0,"เพิ่มขึ้น","คงเดิม"))</f>
        <v/>
      </c>
      <c r="M86" s="34" t="str">
        <f aca="false">IF(ISBLANK(B86),"",IF(OR(H86&gt;0,J86&gt;0),"เพิ่มขึ้น","คงเดิม"))</f>
        <v/>
      </c>
      <c r="N86" s="35"/>
      <c r="O86" s="34" t="str">
        <f aca="false">IF(ISBLANK(B86),"",IF(LEN(B86)=13,IF(RIGHT(11-MOD(MID(B86,1,1)*13+MID(B86,2,1)*12+MID(B86,3,1)*11+MID(B86,4,1)*10+MID(B86,5,1)*9+MID(B86,6,1)*8+MID(B86,7,1)*7+MID(B86,8,1)*6+MID(B86,9,1)*5+MID(B86,10,1)*4+MID(B86,11,1)*3+MID(B86,12,1)*2,11))=RIGHT(B86),"ถูกต้อง","ผิด "),"ไม่ครบ13หลัก"))</f>
        <v/>
      </c>
      <c r="P86" s="34" t="str">
        <f aca="false">CONCATENATE(D86," ",E86)</f>
        <v> </v>
      </c>
      <c r="Q86" s="34"/>
      <c r="R86" s="37"/>
      <c r="AH86" s="11" t="s">
        <v>211</v>
      </c>
    </row>
    <row r="87" customFormat="false" ht="26.25" hidden="false" customHeight="true" outlineLevel="0" collapsed="false">
      <c r="A87" s="48"/>
      <c r="B87" s="40"/>
      <c r="C87" s="38"/>
      <c r="D87" s="38"/>
      <c r="E87" s="39"/>
      <c r="F87" s="39"/>
      <c r="G87" s="41"/>
      <c r="H87" s="41"/>
      <c r="I87" s="42"/>
      <c r="J87" s="42"/>
      <c r="K87" s="42"/>
      <c r="L87" s="34" t="str">
        <f aca="false">IF(ISBLANK(B87),"",IF(SUM(G87:K87)&gt;0,"เพิ่มขึ้น","คงเดิม"))</f>
        <v/>
      </c>
      <c r="M87" s="34" t="str">
        <f aca="false">IF(ISBLANK(B87),"",IF(OR(H87&gt;0,J87&gt;0),"เพิ่มขึ้น","คงเดิม"))</f>
        <v/>
      </c>
      <c r="N87" s="35"/>
      <c r="O87" s="34" t="str">
        <f aca="false">IF(ISBLANK(B87),"",IF(LEN(B87)=13,IF(RIGHT(11-MOD(MID(B87,1,1)*13+MID(B87,2,1)*12+MID(B87,3,1)*11+MID(B87,4,1)*10+MID(B87,5,1)*9+MID(B87,6,1)*8+MID(B87,7,1)*7+MID(B87,8,1)*6+MID(B87,9,1)*5+MID(B87,10,1)*4+MID(B87,11,1)*3+MID(B87,12,1)*2,11))=RIGHT(B87),"ถูกต้อง","ผิด "),"ไม่ครบ13หลัก"))</f>
        <v/>
      </c>
      <c r="P87" s="34" t="str">
        <f aca="false">CONCATENATE(D87," ",E87)</f>
        <v> </v>
      </c>
      <c r="Q87" s="34"/>
      <c r="R87" s="37"/>
      <c r="AH87" s="11" t="s">
        <v>212</v>
      </c>
    </row>
    <row r="88" customFormat="false" ht="26.25" hidden="false" customHeight="true" outlineLevel="0" collapsed="false">
      <c r="A88" s="48"/>
      <c r="B88" s="40"/>
      <c r="C88" s="38"/>
      <c r="D88" s="38"/>
      <c r="E88" s="39"/>
      <c r="F88" s="39"/>
      <c r="G88" s="41"/>
      <c r="H88" s="41"/>
      <c r="I88" s="42"/>
      <c r="J88" s="42"/>
      <c r="K88" s="42"/>
      <c r="L88" s="34" t="str">
        <f aca="false">IF(ISBLANK(B88),"",IF(SUM(G88:K88)&gt;0,"เพิ่มขึ้น","คงเดิม"))</f>
        <v/>
      </c>
      <c r="M88" s="34" t="str">
        <f aca="false">IF(ISBLANK(B88),"",IF(OR(H88&gt;0,J88&gt;0),"เพิ่มขึ้น","คงเดิม"))</f>
        <v/>
      </c>
      <c r="N88" s="35"/>
      <c r="O88" s="34" t="str">
        <f aca="false">IF(ISBLANK(B88),"",IF(LEN(B88)=13,IF(RIGHT(11-MOD(MID(B88,1,1)*13+MID(B88,2,1)*12+MID(B88,3,1)*11+MID(B88,4,1)*10+MID(B88,5,1)*9+MID(B88,6,1)*8+MID(B88,7,1)*7+MID(B88,8,1)*6+MID(B88,9,1)*5+MID(B88,10,1)*4+MID(B88,11,1)*3+MID(B88,12,1)*2,11))=RIGHT(B88),"ถูกต้อง","ผิด "),"ไม่ครบ13หลัก"))</f>
        <v/>
      </c>
      <c r="P88" s="34" t="str">
        <f aca="false">CONCATENATE(D88," ",E88)</f>
        <v> </v>
      </c>
      <c r="Q88" s="34"/>
      <c r="R88" s="37"/>
      <c r="AH88" s="11" t="s">
        <v>213</v>
      </c>
    </row>
    <row r="89" customFormat="false" ht="26.25" hidden="false" customHeight="true" outlineLevel="0" collapsed="false">
      <c r="A89" s="48"/>
      <c r="B89" s="40"/>
      <c r="C89" s="38"/>
      <c r="D89" s="38"/>
      <c r="E89" s="39"/>
      <c r="F89" s="39"/>
      <c r="G89" s="41"/>
      <c r="H89" s="41"/>
      <c r="I89" s="42"/>
      <c r="J89" s="42"/>
      <c r="K89" s="42"/>
      <c r="L89" s="34" t="str">
        <f aca="false">IF(ISBLANK(B89),"",IF(SUM(G89:K89)&gt;0,"เพิ่มขึ้น","คงเดิม"))</f>
        <v/>
      </c>
      <c r="M89" s="34" t="str">
        <f aca="false">IF(ISBLANK(B89),"",IF(OR(H89&gt;0,J89&gt;0),"เพิ่มขึ้น","คงเดิม"))</f>
        <v/>
      </c>
      <c r="N89" s="35"/>
      <c r="O89" s="34" t="str">
        <f aca="false">IF(ISBLANK(B89),"",IF(LEN(B89)=13,IF(RIGHT(11-MOD(MID(B89,1,1)*13+MID(B89,2,1)*12+MID(B89,3,1)*11+MID(B89,4,1)*10+MID(B89,5,1)*9+MID(B89,6,1)*8+MID(B89,7,1)*7+MID(B89,8,1)*6+MID(B89,9,1)*5+MID(B89,10,1)*4+MID(B89,11,1)*3+MID(B89,12,1)*2,11))=RIGHT(B89),"ถูกต้อง","ผิด "),"ไม่ครบ13หลัก"))</f>
        <v/>
      </c>
      <c r="P89" s="34" t="str">
        <f aca="false">CONCATENATE(D89," ",E89)</f>
        <v> </v>
      </c>
      <c r="Q89" s="34"/>
      <c r="R89" s="37"/>
      <c r="AH89" s="11" t="s">
        <v>214</v>
      </c>
    </row>
    <row r="90" customFormat="false" ht="26.25" hidden="false" customHeight="true" outlineLevel="0" collapsed="false">
      <c r="A90" s="48"/>
      <c r="B90" s="40"/>
      <c r="C90" s="38"/>
      <c r="D90" s="38"/>
      <c r="E90" s="39"/>
      <c r="F90" s="39"/>
      <c r="G90" s="41"/>
      <c r="H90" s="41"/>
      <c r="I90" s="42"/>
      <c r="J90" s="42"/>
      <c r="K90" s="42"/>
      <c r="L90" s="34" t="str">
        <f aca="false">IF(ISBLANK(B90),"",IF(SUM(G90:K90)&gt;0,"เพิ่มขึ้น","คงเดิม"))</f>
        <v/>
      </c>
      <c r="M90" s="34" t="str">
        <f aca="false">IF(ISBLANK(B90),"",IF(OR(H90&gt;0,J90&gt;0),"เพิ่มขึ้น","คงเดิม"))</f>
        <v/>
      </c>
      <c r="N90" s="35"/>
      <c r="O90" s="34" t="str">
        <f aca="false">IF(ISBLANK(B90),"",IF(LEN(B90)=13,IF(RIGHT(11-MOD(MID(B90,1,1)*13+MID(B90,2,1)*12+MID(B90,3,1)*11+MID(B90,4,1)*10+MID(B90,5,1)*9+MID(B90,6,1)*8+MID(B90,7,1)*7+MID(B90,8,1)*6+MID(B90,9,1)*5+MID(B90,10,1)*4+MID(B90,11,1)*3+MID(B90,12,1)*2,11))=RIGHT(B90),"ถูกต้อง","ผิด "),"ไม่ครบ13หลัก"))</f>
        <v/>
      </c>
      <c r="P90" s="34" t="str">
        <f aca="false">CONCATENATE(D90," ",E90)</f>
        <v> </v>
      </c>
      <c r="Q90" s="34"/>
      <c r="R90" s="37"/>
      <c r="AH90" s="11" t="s">
        <v>215</v>
      </c>
    </row>
    <row r="91" customFormat="false" ht="26.25" hidden="false" customHeight="true" outlineLevel="0" collapsed="false">
      <c r="A91" s="48"/>
      <c r="B91" s="40"/>
      <c r="C91" s="38"/>
      <c r="D91" s="38"/>
      <c r="E91" s="39"/>
      <c r="F91" s="39"/>
      <c r="G91" s="41"/>
      <c r="H91" s="41"/>
      <c r="I91" s="42"/>
      <c r="J91" s="42"/>
      <c r="K91" s="42"/>
      <c r="L91" s="34" t="str">
        <f aca="false">IF(ISBLANK(B91),"",IF(SUM(G91:K91)&gt;0,"เพิ่มขึ้น","คงเดิม"))</f>
        <v/>
      </c>
      <c r="M91" s="34" t="str">
        <f aca="false">IF(ISBLANK(B91),"",IF(OR(H91&gt;0,J91&gt;0),"เพิ่มขึ้น","คงเดิม"))</f>
        <v/>
      </c>
      <c r="N91" s="35"/>
      <c r="O91" s="34" t="str">
        <f aca="false">IF(ISBLANK(B91),"",IF(LEN(B91)=13,IF(RIGHT(11-MOD(MID(B91,1,1)*13+MID(B91,2,1)*12+MID(B91,3,1)*11+MID(B91,4,1)*10+MID(B91,5,1)*9+MID(B91,6,1)*8+MID(B91,7,1)*7+MID(B91,8,1)*6+MID(B91,9,1)*5+MID(B91,10,1)*4+MID(B91,11,1)*3+MID(B91,12,1)*2,11))=RIGHT(B91),"ถูกต้อง","ผิด "),"ไม่ครบ13หลัก"))</f>
        <v/>
      </c>
      <c r="P91" s="34" t="str">
        <f aca="false">CONCATENATE(D91," ",E91)</f>
        <v> </v>
      </c>
      <c r="Q91" s="34"/>
      <c r="R91" s="37"/>
    </row>
    <row r="92" customFormat="false" ht="26.25" hidden="false" customHeight="true" outlineLevel="0" collapsed="false">
      <c r="A92" s="48"/>
      <c r="B92" s="40"/>
      <c r="C92" s="38"/>
      <c r="D92" s="38"/>
      <c r="E92" s="39"/>
      <c r="F92" s="39"/>
      <c r="G92" s="41"/>
      <c r="H92" s="41"/>
      <c r="I92" s="42"/>
      <c r="J92" s="42"/>
      <c r="K92" s="42"/>
      <c r="L92" s="34" t="str">
        <f aca="false">IF(ISBLANK(B92),"",IF(SUM(G92:K92)&gt;0,"เพิ่มขึ้น","คงเดิม"))</f>
        <v/>
      </c>
      <c r="M92" s="34" t="str">
        <f aca="false">IF(ISBLANK(B92),"",IF(OR(H92&gt;0,J92&gt;0),"เพิ่มขึ้น","คงเดิม"))</f>
        <v/>
      </c>
      <c r="N92" s="35"/>
      <c r="O92" s="34" t="str">
        <f aca="false">IF(ISBLANK(B92),"",IF(LEN(B92)=13,IF(RIGHT(11-MOD(MID(B92,1,1)*13+MID(B92,2,1)*12+MID(B92,3,1)*11+MID(B92,4,1)*10+MID(B92,5,1)*9+MID(B92,6,1)*8+MID(B92,7,1)*7+MID(B92,8,1)*6+MID(B92,9,1)*5+MID(B92,10,1)*4+MID(B92,11,1)*3+MID(B92,12,1)*2,11))=RIGHT(B92),"ถูกต้อง","ผิด "),"ไม่ครบ13หลัก"))</f>
        <v/>
      </c>
      <c r="P92" s="34" t="str">
        <f aca="false">CONCATENATE(D92," ",E92)</f>
        <v> </v>
      </c>
      <c r="Q92" s="34"/>
      <c r="R92" s="37"/>
    </row>
    <row r="93" customFormat="false" ht="26.25" hidden="false" customHeight="true" outlineLevel="0" collapsed="false">
      <c r="A93" s="48"/>
      <c r="B93" s="40"/>
      <c r="C93" s="38"/>
      <c r="D93" s="38"/>
      <c r="E93" s="39"/>
      <c r="F93" s="39"/>
      <c r="G93" s="41"/>
      <c r="H93" s="41"/>
      <c r="I93" s="42"/>
      <c r="J93" s="42"/>
      <c r="K93" s="42"/>
      <c r="L93" s="34" t="str">
        <f aca="false">IF(ISBLANK(B93),"",IF(SUM(G93:K93)&gt;0,"เพิ่มขึ้น","คงเดิม"))</f>
        <v/>
      </c>
      <c r="M93" s="34" t="str">
        <f aca="false">IF(ISBLANK(B93),"",IF(OR(H93&gt;0,J93&gt;0),"เพิ่มขึ้น","คงเดิม"))</f>
        <v/>
      </c>
      <c r="N93" s="35"/>
      <c r="O93" s="34" t="str">
        <f aca="false">IF(ISBLANK(B93),"",IF(LEN(B93)=13,IF(RIGHT(11-MOD(MID(B93,1,1)*13+MID(B93,2,1)*12+MID(B93,3,1)*11+MID(B93,4,1)*10+MID(B93,5,1)*9+MID(B93,6,1)*8+MID(B93,7,1)*7+MID(B93,8,1)*6+MID(B93,9,1)*5+MID(B93,10,1)*4+MID(B93,11,1)*3+MID(B93,12,1)*2,11))=RIGHT(B93),"ถูกต้อง","ผิด "),"ไม่ครบ13หลัก"))</f>
        <v/>
      </c>
      <c r="P93" s="34" t="str">
        <f aca="false">CONCATENATE(D93," ",E93)</f>
        <v> </v>
      </c>
      <c r="Q93" s="34"/>
      <c r="R93" s="37"/>
    </row>
    <row r="94" customFormat="false" ht="26.25" hidden="false" customHeight="true" outlineLevel="0" collapsed="false">
      <c r="A94" s="48"/>
      <c r="B94" s="40"/>
      <c r="C94" s="38"/>
      <c r="D94" s="38"/>
      <c r="E94" s="39"/>
      <c r="F94" s="39"/>
      <c r="G94" s="41"/>
      <c r="H94" s="41"/>
      <c r="I94" s="42"/>
      <c r="J94" s="42"/>
      <c r="K94" s="42"/>
      <c r="L94" s="34" t="str">
        <f aca="false">IF(ISBLANK(B94),"",IF(SUM(G94:K94)&gt;0,"เพิ่มขึ้น","คงเดิม"))</f>
        <v/>
      </c>
      <c r="M94" s="34" t="str">
        <f aca="false">IF(ISBLANK(B94),"",IF(OR(H94&gt;0,J94&gt;0),"เพิ่มขึ้น","คงเดิม"))</f>
        <v/>
      </c>
      <c r="N94" s="35"/>
      <c r="O94" s="34" t="str">
        <f aca="false">IF(ISBLANK(B94),"",IF(LEN(B94)=13,IF(RIGHT(11-MOD(MID(B94,1,1)*13+MID(B94,2,1)*12+MID(B94,3,1)*11+MID(B94,4,1)*10+MID(B94,5,1)*9+MID(B94,6,1)*8+MID(B94,7,1)*7+MID(B94,8,1)*6+MID(B94,9,1)*5+MID(B94,10,1)*4+MID(B94,11,1)*3+MID(B94,12,1)*2,11))=RIGHT(B94),"ถูกต้อง","ผิด "),"ไม่ครบ13หลัก"))</f>
        <v/>
      </c>
      <c r="P94" s="34" t="str">
        <f aca="false">CONCATENATE(D94," ",E94)</f>
        <v> </v>
      </c>
      <c r="Q94" s="34"/>
      <c r="R94" s="37"/>
    </row>
    <row r="95" customFormat="false" ht="26.25" hidden="false" customHeight="true" outlineLevel="0" collapsed="false">
      <c r="A95" s="48"/>
      <c r="B95" s="40"/>
      <c r="C95" s="38"/>
      <c r="D95" s="38"/>
      <c r="E95" s="39"/>
      <c r="F95" s="39"/>
      <c r="G95" s="41"/>
      <c r="H95" s="41"/>
      <c r="I95" s="42"/>
      <c r="J95" s="42"/>
      <c r="K95" s="42"/>
      <c r="L95" s="34" t="str">
        <f aca="false">IF(ISBLANK(B95),"",IF(SUM(G95:K95)&gt;0,"เพิ่มขึ้น","คงเดิม"))</f>
        <v/>
      </c>
      <c r="M95" s="34" t="str">
        <f aca="false">IF(ISBLANK(B95),"",IF(OR(H95&gt;0,J95&gt;0),"เพิ่มขึ้น","คงเดิม"))</f>
        <v/>
      </c>
      <c r="N95" s="35"/>
      <c r="O95" s="34" t="str">
        <f aca="false">IF(ISBLANK(B95),"",IF(LEN(B95)=13,IF(RIGHT(11-MOD(MID(B95,1,1)*13+MID(B95,2,1)*12+MID(B95,3,1)*11+MID(B95,4,1)*10+MID(B95,5,1)*9+MID(B95,6,1)*8+MID(B95,7,1)*7+MID(B95,8,1)*6+MID(B95,9,1)*5+MID(B95,10,1)*4+MID(B95,11,1)*3+MID(B95,12,1)*2,11))=RIGHT(B95),"ถูกต้อง","ผิด "),"ไม่ครบ13หลัก"))</f>
        <v/>
      </c>
      <c r="P95" s="34" t="str">
        <f aca="false">CONCATENATE(D95," ",E95)</f>
        <v> </v>
      </c>
      <c r="Q95" s="34"/>
      <c r="R95" s="37"/>
    </row>
    <row r="96" customFormat="false" ht="26.25" hidden="false" customHeight="true" outlineLevel="0" collapsed="false">
      <c r="A96" s="48"/>
      <c r="B96" s="40"/>
      <c r="C96" s="38"/>
      <c r="D96" s="38"/>
      <c r="E96" s="39"/>
      <c r="F96" s="39"/>
      <c r="G96" s="41"/>
      <c r="H96" s="41"/>
      <c r="I96" s="42"/>
      <c r="J96" s="42"/>
      <c r="K96" s="42"/>
      <c r="L96" s="34" t="str">
        <f aca="false">IF(ISBLANK(B96),"",IF(SUM(G96:K96)&gt;0,"เพิ่มขึ้น","คงเดิม"))</f>
        <v/>
      </c>
      <c r="M96" s="34" t="str">
        <f aca="false">IF(ISBLANK(B96),"",IF(OR(H96&gt;0,J96&gt;0),"เพิ่มขึ้น","คงเดิม"))</f>
        <v/>
      </c>
      <c r="N96" s="35"/>
      <c r="O96" s="34" t="str">
        <f aca="false">IF(ISBLANK(B96),"",IF(LEN(B96)=13,IF(RIGHT(11-MOD(MID(B96,1,1)*13+MID(B96,2,1)*12+MID(B96,3,1)*11+MID(B96,4,1)*10+MID(B96,5,1)*9+MID(B96,6,1)*8+MID(B96,7,1)*7+MID(B96,8,1)*6+MID(B96,9,1)*5+MID(B96,10,1)*4+MID(B96,11,1)*3+MID(B96,12,1)*2,11))=RIGHT(B96),"ถูกต้อง","ผิด "),"ไม่ครบ13หลัก"))</f>
        <v/>
      </c>
      <c r="P96" s="34" t="str">
        <f aca="false">CONCATENATE(D96," ",E96)</f>
        <v> </v>
      </c>
      <c r="Q96" s="34"/>
      <c r="R96" s="37"/>
    </row>
    <row r="97" customFormat="false" ht="26.25" hidden="false" customHeight="true" outlineLevel="0" collapsed="false">
      <c r="A97" s="48"/>
      <c r="B97" s="40"/>
      <c r="C97" s="38"/>
      <c r="D97" s="38"/>
      <c r="E97" s="39"/>
      <c r="F97" s="39"/>
      <c r="G97" s="41"/>
      <c r="H97" s="41"/>
      <c r="I97" s="42"/>
      <c r="J97" s="42"/>
      <c r="K97" s="42"/>
      <c r="L97" s="34" t="str">
        <f aca="false">IF(ISBLANK(B97),"",IF(SUM(G97:K97)&gt;0,"เพิ่มขึ้น","คงเดิม"))</f>
        <v/>
      </c>
      <c r="M97" s="34" t="str">
        <f aca="false">IF(ISBLANK(B97),"",IF(OR(H97&gt;0,J97&gt;0),"เพิ่มขึ้น","คงเดิม"))</f>
        <v/>
      </c>
      <c r="N97" s="35"/>
      <c r="O97" s="34" t="str">
        <f aca="false">IF(ISBLANK(B97),"",IF(LEN(B97)=13,IF(RIGHT(11-MOD(MID(B97,1,1)*13+MID(B97,2,1)*12+MID(B97,3,1)*11+MID(B97,4,1)*10+MID(B97,5,1)*9+MID(B97,6,1)*8+MID(B97,7,1)*7+MID(B97,8,1)*6+MID(B97,9,1)*5+MID(B97,10,1)*4+MID(B97,11,1)*3+MID(B97,12,1)*2,11))=RIGHT(B97),"ถูกต้อง","ผิด "),"ไม่ครบ13หลัก"))</f>
        <v/>
      </c>
      <c r="P97" s="34" t="str">
        <f aca="false">CONCATENATE(D97," ",E97)</f>
        <v> </v>
      </c>
      <c r="Q97" s="34"/>
      <c r="R97" s="37"/>
    </row>
    <row r="98" customFormat="false" ht="26.25" hidden="false" customHeight="true" outlineLevel="0" collapsed="false">
      <c r="A98" s="48"/>
      <c r="B98" s="40"/>
      <c r="C98" s="38"/>
      <c r="D98" s="38"/>
      <c r="E98" s="39"/>
      <c r="F98" s="39"/>
      <c r="G98" s="41"/>
      <c r="H98" s="41"/>
      <c r="I98" s="42"/>
      <c r="J98" s="42"/>
      <c r="K98" s="42"/>
      <c r="L98" s="34" t="str">
        <f aca="false">IF(ISBLANK(B98),"",IF(SUM(G98:K98)&gt;0,"เพิ่มขึ้น","คงเดิม"))</f>
        <v/>
      </c>
      <c r="M98" s="34" t="str">
        <f aca="false">IF(ISBLANK(B98),"",IF(OR(H98&gt;0,J98&gt;0),"เพิ่มขึ้น","คงเดิม"))</f>
        <v/>
      </c>
      <c r="N98" s="35"/>
      <c r="O98" s="34" t="str">
        <f aca="false">IF(ISBLANK(B98),"",IF(LEN(B98)=13,IF(RIGHT(11-MOD(MID(B98,1,1)*13+MID(B98,2,1)*12+MID(B98,3,1)*11+MID(B98,4,1)*10+MID(B98,5,1)*9+MID(B98,6,1)*8+MID(B98,7,1)*7+MID(B98,8,1)*6+MID(B98,9,1)*5+MID(B98,10,1)*4+MID(B98,11,1)*3+MID(B98,12,1)*2,11))=RIGHT(B98),"ถูกต้อง","ผิด "),"ไม่ครบ13หลัก"))</f>
        <v/>
      </c>
      <c r="P98" s="34" t="str">
        <f aca="false">CONCATENATE(D98," ",E98)</f>
        <v> </v>
      </c>
      <c r="Q98" s="34"/>
      <c r="R98" s="37"/>
    </row>
    <row r="99" customFormat="false" ht="26.25" hidden="false" customHeight="true" outlineLevel="0" collapsed="false">
      <c r="A99" s="48"/>
      <c r="B99" s="40"/>
      <c r="C99" s="38"/>
      <c r="D99" s="38"/>
      <c r="E99" s="39"/>
      <c r="F99" s="39"/>
      <c r="G99" s="41"/>
      <c r="H99" s="41"/>
      <c r="I99" s="42"/>
      <c r="J99" s="42"/>
      <c r="K99" s="42"/>
      <c r="L99" s="34" t="str">
        <f aca="false">IF(ISBLANK(B99),"",IF(SUM(G99:K99)&gt;0,"เพิ่มขึ้น","คงเดิม"))</f>
        <v/>
      </c>
      <c r="M99" s="34" t="str">
        <f aca="false">IF(ISBLANK(B99),"",IF(OR(H99&gt;0,J99&gt;0),"เพิ่มขึ้น","คงเดิม"))</f>
        <v/>
      </c>
      <c r="N99" s="35"/>
      <c r="O99" s="34" t="str">
        <f aca="false">IF(ISBLANK(B99),"",IF(LEN(B99)=13,IF(RIGHT(11-MOD(MID(B99,1,1)*13+MID(B99,2,1)*12+MID(B99,3,1)*11+MID(B99,4,1)*10+MID(B99,5,1)*9+MID(B99,6,1)*8+MID(B99,7,1)*7+MID(B99,8,1)*6+MID(B99,9,1)*5+MID(B99,10,1)*4+MID(B99,11,1)*3+MID(B99,12,1)*2,11))=RIGHT(B99),"ถูกต้อง","ผิด "),"ไม่ครบ13หลัก"))</f>
        <v/>
      </c>
      <c r="P99" s="34" t="str">
        <f aca="false">CONCATENATE(D99," ",E99)</f>
        <v> </v>
      </c>
      <c r="Q99" s="34"/>
      <c r="R99" s="37"/>
    </row>
    <row r="100" customFormat="false" ht="26.25" hidden="false" customHeight="true" outlineLevel="0" collapsed="false">
      <c r="A100" s="48"/>
      <c r="B100" s="40"/>
      <c r="C100" s="38"/>
      <c r="D100" s="38"/>
      <c r="E100" s="39"/>
      <c r="F100" s="39"/>
      <c r="G100" s="41"/>
      <c r="H100" s="41"/>
      <c r="I100" s="42"/>
      <c r="J100" s="42"/>
      <c r="K100" s="42"/>
      <c r="L100" s="34" t="str">
        <f aca="false">IF(ISBLANK(B100),"",IF(SUM(G100:K100)&gt;0,"เพิ่มขึ้น","คงเดิม"))</f>
        <v/>
      </c>
      <c r="M100" s="34" t="str">
        <f aca="false">IF(ISBLANK(B100),"",IF(OR(H100&gt;0,J100&gt;0),"เพิ่มขึ้น","คงเดิม"))</f>
        <v/>
      </c>
      <c r="N100" s="35"/>
      <c r="O100" s="34" t="str">
        <f aca="false">IF(ISBLANK(B100),"",IF(LEN(B100)=13,IF(RIGHT(11-MOD(MID(B100,1,1)*13+MID(B100,2,1)*12+MID(B100,3,1)*11+MID(B100,4,1)*10+MID(B100,5,1)*9+MID(B100,6,1)*8+MID(B100,7,1)*7+MID(B100,8,1)*6+MID(B100,9,1)*5+MID(B100,10,1)*4+MID(B100,11,1)*3+MID(B100,12,1)*2,11))=RIGHT(B100),"ถูกต้อง","ผิด "),"ไม่ครบ13หลัก"))</f>
        <v/>
      </c>
      <c r="P100" s="34" t="str">
        <f aca="false">CONCATENATE(D100," ",E100)</f>
        <v> </v>
      </c>
      <c r="Q100" s="34"/>
      <c r="R100" s="37"/>
    </row>
    <row r="101" customFormat="false" ht="26.25" hidden="false" customHeight="true" outlineLevel="0" collapsed="false">
      <c r="A101" s="48"/>
      <c r="B101" s="40"/>
      <c r="C101" s="38"/>
      <c r="D101" s="38"/>
      <c r="E101" s="39"/>
      <c r="F101" s="39"/>
      <c r="G101" s="41"/>
      <c r="H101" s="41"/>
      <c r="I101" s="42"/>
      <c r="J101" s="42"/>
      <c r="K101" s="42"/>
      <c r="L101" s="34" t="str">
        <f aca="false">IF(ISBLANK(B101),"",IF(SUM(G101:K101)&gt;0,"เพิ่มขึ้น","คงเดิม"))</f>
        <v/>
      </c>
      <c r="M101" s="34" t="str">
        <f aca="false">IF(ISBLANK(B101),"",IF(OR(H101&gt;0,J101&gt;0),"เพิ่มขึ้น","คงเดิม"))</f>
        <v/>
      </c>
      <c r="N101" s="35"/>
      <c r="O101" s="34" t="str">
        <f aca="false">IF(ISBLANK(B101),"",IF(LEN(B101)=13,IF(RIGHT(11-MOD(MID(B101,1,1)*13+MID(B101,2,1)*12+MID(B101,3,1)*11+MID(B101,4,1)*10+MID(B101,5,1)*9+MID(B101,6,1)*8+MID(B101,7,1)*7+MID(B101,8,1)*6+MID(B101,9,1)*5+MID(B101,10,1)*4+MID(B101,11,1)*3+MID(B101,12,1)*2,11))=RIGHT(B101),"ถูกต้อง","ผิด "),"ไม่ครบ13หลัก"))</f>
        <v/>
      </c>
      <c r="P101" s="34" t="str">
        <f aca="false">CONCATENATE(D101," ",E101)</f>
        <v> </v>
      </c>
      <c r="Q101" s="34"/>
      <c r="R101" s="37"/>
    </row>
    <row r="102" customFormat="false" ht="26.25" hidden="false" customHeight="true" outlineLevel="0" collapsed="false">
      <c r="A102" s="48"/>
      <c r="B102" s="40"/>
      <c r="C102" s="38"/>
      <c r="D102" s="38"/>
      <c r="E102" s="39"/>
      <c r="F102" s="39"/>
      <c r="G102" s="41"/>
      <c r="H102" s="41"/>
      <c r="I102" s="42"/>
      <c r="J102" s="42"/>
      <c r="K102" s="42"/>
      <c r="L102" s="34" t="str">
        <f aca="false">IF(ISBLANK(B102),"",IF(SUM(G102:K102)&gt;0,"เพิ่มขึ้น","คงเดิม"))</f>
        <v/>
      </c>
      <c r="M102" s="34" t="str">
        <f aca="false">IF(ISBLANK(B102),"",IF(OR(H102&gt;0,J102&gt;0),"เพิ่มขึ้น","คงเดิม"))</f>
        <v/>
      </c>
      <c r="N102" s="35"/>
      <c r="O102" s="34" t="str">
        <f aca="false">IF(ISBLANK(B102),"",IF(LEN(B102)=13,IF(RIGHT(11-MOD(MID(B102,1,1)*13+MID(B102,2,1)*12+MID(B102,3,1)*11+MID(B102,4,1)*10+MID(B102,5,1)*9+MID(B102,6,1)*8+MID(B102,7,1)*7+MID(B102,8,1)*6+MID(B102,9,1)*5+MID(B102,10,1)*4+MID(B102,11,1)*3+MID(B102,12,1)*2,11))=RIGHT(B102),"ถูกต้อง","ผิด "),"ไม่ครบ13หลัก"))</f>
        <v/>
      </c>
      <c r="P102" s="34" t="str">
        <f aca="false">CONCATENATE(D102," ",E102)</f>
        <v> </v>
      </c>
      <c r="Q102" s="34"/>
      <c r="R102" s="37"/>
    </row>
    <row r="103" customFormat="false" ht="26.25" hidden="false" customHeight="true" outlineLevel="0" collapsed="false">
      <c r="A103" s="48"/>
      <c r="B103" s="40"/>
      <c r="C103" s="38"/>
      <c r="D103" s="38"/>
      <c r="E103" s="39"/>
      <c r="F103" s="39"/>
      <c r="G103" s="41"/>
      <c r="H103" s="41"/>
      <c r="I103" s="42"/>
      <c r="J103" s="42"/>
      <c r="K103" s="42"/>
      <c r="L103" s="34" t="str">
        <f aca="false">IF(ISBLANK(B103),"",IF(SUM(G103:K103)&gt;0,"เพิ่มขึ้น","คงเดิม"))</f>
        <v/>
      </c>
      <c r="M103" s="34" t="str">
        <f aca="false">IF(ISBLANK(B103),"",IF(OR(H103&gt;0,J103&gt;0),"เพิ่มขึ้น","คงเดิม"))</f>
        <v/>
      </c>
      <c r="N103" s="35"/>
      <c r="O103" s="34" t="str">
        <f aca="false">IF(ISBLANK(B103),"",IF(LEN(B103)=13,IF(RIGHT(11-MOD(MID(B103,1,1)*13+MID(B103,2,1)*12+MID(B103,3,1)*11+MID(B103,4,1)*10+MID(B103,5,1)*9+MID(B103,6,1)*8+MID(B103,7,1)*7+MID(B103,8,1)*6+MID(B103,9,1)*5+MID(B103,10,1)*4+MID(B103,11,1)*3+MID(B103,12,1)*2,11))=RIGHT(B103),"ถูกต้อง","ผิด "),"ไม่ครบ13หลัก"))</f>
        <v/>
      </c>
      <c r="P103" s="34" t="str">
        <f aca="false">CONCATENATE(D103," ",E103)</f>
        <v> </v>
      </c>
      <c r="Q103" s="34"/>
      <c r="R103" s="37"/>
    </row>
    <row r="104" customFormat="false" ht="26.25" hidden="false" customHeight="true" outlineLevel="0" collapsed="false">
      <c r="A104" s="48"/>
      <c r="B104" s="40"/>
      <c r="C104" s="38"/>
      <c r="D104" s="38"/>
      <c r="E104" s="39"/>
      <c r="F104" s="39"/>
      <c r="G104" s="41"/>
      <c r="H104" s="41"/>
      <c r="I104" s="42"/>
      <c r="J104" s="42"/>
      <c r="K104" s="42"/>
      <c r="L104" s="34" t="str">
        <f aca="false">IF(ISBLANK(B104),"",IF(SUM(G104:K104)&gt;0,"เพิ่มขึ้น","คงเดิม"))</f>
        <v/>
      </c>
      <c r="M104" s="34" t="str">
        <f aca="false">IF(ISBLANK(B104),"",IF(OR(H104&gt;0,J104&gt;0),"เพิ่มขึ้น","คงเดิม"))</f>
        <v/>
      </c>
      <c r="N104" s="35"/>
      <c r="O104" s="34" t="str">
        <f aca="false">IF(ISBLANK(B104),"",IF(LEN(B104)=13,IF(RIGHT(11-MOD(MID(B104,1,1)*13+MID(B104,2,1)*12+MID(B104,3,1)*11+MID(B104,4,1)*10+MID(B104,5,1)*9+MID(B104,6,1)*8+MID(B104,7,1)*7+MID(B104,8,1)*6+MID(B104,9,1)*5+MID(B104,10,1)*4+MID(B104,11,1)*3+MID(B104,12,1)*2,11))=RIGHT(B104),"ถูกต้อง","ผิด "),"ไม่ครบ13หลัก"))</f>
        <v/>
      </c>
      <c r="P104" s="34" t="str">
        <f aca="false">CONCATENATE(D104," ",E104)</f>
        <v> </v>
      </c>
      <c r="Q104" s="34"/>
      <c r="R104" s="37"/>
    </row>
    <row r="105" customFormat="false" ht="26.25" hidden="false" customHeight="true" outlineLevel="0" collapsed="false">
      <c r="A105" s="48"/>
      <c r="B105" s="40"/>
      <c r="C105" s="38"/>
      <c r="D105" s="38"/>
      <c r="E105" s="39"/>
      <c r="F105" s="39"/>
      <c r="G105" s="41"/>
      <c r="H105" s="41"/>
      <c r="I105" s="42"/>
      <c r="J105" s="42"/>
      <c r="K105" s="42"/>
      <c r="L105" s="34" t="str">
        <f aca="false">IF(ISBLANK(B105),"",IF(SUM(G105:K105)&gt;0,"เพิ่มขึ้น","คงเดิม"))</f>
        <v/>
      </c>
      <c r="M105" s="34" t="str">
        <f aca="false">IF(ISBLANK(B105),"",IF(OR(H105&gt;0,J105&gt;0),"เพิ่มขึ้น","คงเดิม"))</f>
        <v/>
      </c>
      <c r="N105" s="35"/>
      <c r="O105" s="34" t="str">
        <f aca="false">IF(ISBLANK(B105),"",IF(LEN(B105)=13,IF(RIGHT(11-MOD(MID(B105,1,1)*13+MID(B105,2,1)*12+MID(B105,3,1)*11+MID(B105,4,1)*10+MID(B105,5,1)*9+MID(B105,6,1)*8+MID(B105,7,1)*7+MID(B105,8,1)*6+MID(B105,9,1)*5+MID(B105,10,1)*4+MID(B105,11,1)*3+MID(B105,12,1)*2,11))=RIGHT(B105),"ถูกต้อง","ผิด "),"ไม่ครบ13หลัก"))</f>
        <v/>
      </c>
      <c r="P105" s="34" t="str">
        <f aca="false">CONCATENATE(D105," ",E105)</f>
        <v> </v>
      </c>
      <c r="Q105" s="34"/>
      <c r="R105" s="37"/>
    </row>
    <row r="106" customFormat="false" ht="26.25" hidden="false" customHeight="true" outlineLevel="0" collapsed="false">
      <c r="A106" s="48"/>
      <c r="B106" s="40"/>
      <c r="C106" s="38"/>
      <c r="D106" s="38"/>
      <c r="E106" s="39"/>
      <c r="F106" s="39"/>
      <c r="G106" s="41"/>
      <c r="H106" s="41"/>
      <c r="I106" s="42"/>
      <c r="J106" s="42"/>
      <c r="K106" s="42"/>
      <c r="L106" s="34" t="str">
        <f aca="false">IF(ISBLANK(B106),"",IF(SUM(G106:K106)&gt;0,"เพิ่มขึ้น","คงเดิม"))</f>
        <v/>
      </c>
      <c r="M106" s="34" t="str">
        <f aca="false">IF(ISBLANK(B106),"",IF(OR(H106&gt;0,J106&gt;0),"เพิ่มขึ้น","คงเดิม"))</f>
        <v/>
      </c>
      <c r="N106" s="35"/>
      <c r="O106" s="34" t="str">
        <f aca="false">IF(ISBLANK(B106),"",IF(LEN(B106)=13,IF(RIGHT(11-MOD(MID(B106,1,1)*13+MID(B106,2,1)*12+MID(B106,3,1)*11+MID(B106,4,1)*10+MID(B106,5,1)*9+MID(B106,6,1)*8+MID(B106,7,1)*7+MID(B106,8,1)*6+MID(B106,9,1)*5+MID(B106,10,1)*4+MID(B106,11,1)*3+MID(B106,12,1)*2,11))=RIGHT(B106),"ถูกต้อง","ผิด "),"ไม่ครบ13หลัก"))</f>
        <v/>
      </c>
      <c r="P106" s="34" t="str">
        <f aca="false">CONCATENATE(D106," ",E106)</f>
        <v> </v>
      </c>
      <c r="Q106" s="34"/>
      <c r="R106" s="37"/>
    </row>
    <row r="107" customFormat="false" ht="26.25" hidden="false" customHeight="true" outlineLevel="0" collapsed="false">
      <c r="A107" s="48"/>
      <c r="B107" s="40"/>
      <c r="C107" s="38"/>
      <c r="D107" s="38"/>
      <c r="E107" s="39"/>
      <c r="F107" s="39"/>
      <c r="G107" s="41"/>
      <c r="H107" s="41"/>
      <c r="I107" s="42"/>
      <c r="J107" s="42"/>
      <c r="K107" s="42"/>
      <c r="L107" s="34" t="str">
        <f aca="false">IF(ISBLANK(B107),"",IF(SUM(G107:K107)&gt;0,"เพิ่มขึ้น","คงเดิม"))</f>
        <v/>
      </c>
      <c r="M107" s="34" t="str">
        <f aca="false">IF(ISBLANK(B107),"",IF(OR(H107&gt;0,J107&gt;0),"เพิ่มขึ้น","คงเดิม"))</f>
        <v/>
      </c>
      <c r="N107" s="35"/>
      <c r="O107" s="34" t="str">
        <f aca="false">IF(ISBLANK(B107),"",IF(LEN(B107)=13,IF(RIGHT(11-MOD(MID(B107,1,1)*13+MID(B107,2,1)*12+MID(B107,3,1)*11+MID(B107,4,1)*10+MID(B107,5,1)*9+MID(B107,6,1)*8+MID(B107,7,1)*7+MID(B107,8,1)*6+MID(B107,9,1)*5+MID(B107,10,1)*4+MID(B107,11,1)*3+MID(B107,12,1)*2,11))=RIGHT(B107),"ถูกต้อง","ผิด "),"ไม่ครบ13หลัก"))</f>
        <v/>
      </c>
      <c r="P107" s="34" t="str">
        <f aca="false">CONCATENATE(D107," ",E107)</f>
        <v> </v>
      </c>
      <c r="Q107" s="34"/>
      <c r="R107" s="37"/>
    </row>
    <row r="108" customFormat="false" ht="25.8" hidden="false" customHeight="false" outlineLevel="0" collapsed="false">
      <c r="A108" s="55" t="s">
        <v>95</v>
      </c>
      <c r="B108" s="55"/>
      <c r="C108" s="55"/>
      <c r="D108" s="55"/>
      <c r="E108" s="55"/>
      <c r="F108" s="55"/>
      <c r="G108" s="56" t="n">
        <f aca="false">AVERAGE(G8:G107)</f>
        <v>0.931034482758621</v>
      </c>
      <c r="H108" s="56" t="n">
        <f aca="false">AVERAGE(H8:H107)</f>
        <v>1.03448275862069</v>
      </c>
      <c r="I108" s="57" t="n">
        <f aca="false">AVERAGE(I8:I107)</f>
        <v>1</v>
      </c>
      <c r="J108" s="57" t="n">
        <f aca="false">AVERAGE(J8:J107)</f>
        <v>1</v>
      </c>
      <c r="K108" s="57" t="n">
        <f aca="false">AVERAGE(K8:K107)</f>
        <v>0</v>
      </c>
      <c r="L108" s="57" t="n">
        <f aca="false">COUNTIF(L8:L107,"เพิ่มขึ้น")</f>
        <v>6</v>
      </c>
      <c r="M108" s="57" t="n">
        <f aca="false">COUNTIF(M8:M107,"เพิ่มขึ้น")</f>
        <v>6</v>
      </c>
      <c r="N108" s="57"/>
      <c r="O108" s="58"/>
      <c r="P108" s="59"/>
      <c r="Q108" s="58"/>
      <c r="R108" s="60"/>
    </row>
    <row r="109" customFormat="false" ht="25.8" hidden="false" customHeight="false" outlineLevel="0" collapsed="false">
      <c r="A109" s="61"/>
      <c r="B109" s="62"/>
      <c r="C109" s="63"/>
      <c r="D109" s="64"/>
      <c r="E109" s="65"/>
      <c r="F109" s="65"/>
      <c r="G109" s="65"/>
      <c r="H109" s="65"/>
      <c r="I109" s="66"/>
      <c r="J109" s="67"/>
      <c r="K109" s="68"/>
      <c r="L109" s="69"/>
      <c r="M109" s="70"/>
      <c r="N109" s="66"/>
      <c r="O109" s="70"/>
      <c r="P109" s="71"/>
      <c r="Q109" s="70"/>
      <c r="R109" s="70"/>
    </row>
    <row r="110" customFormat="false" ht="25.8" hidden="false" customHeight="false" outlineLevel="0" collapsed="false">
      <c r="A110" s="61"/>
      <c r="B110" s="72"/>
      <c r="C110" s="73"/>
      <c r="D110" s="74"/>
      <c r="E110" s="75"/>
      <c r="F110" s="75"/>
      <c r="G110" s="75"/>
      <c r="H110" s="75"/>
      <c r="I110" s="76"/>
      <c r="J110" s="77"/>
      <c r="K110" s="43"/>
      <c r="L110" s="78"/>
      <c r="M110" s="70"/>
      <c r="N110" s="76"/>
      <c r="O110" s="70"/>
      <c r="P110" s="71"/>
      <c r="Q110" s="70"/>
      <c r="R110" s="70"/>
    </row>
    <row r="111" customFormat="false" ht="25.8" hidden="false" customHeight="false" outlineLevel="0" collapsed="false">
      <c r="A111" s="79"/>
      <c r="B111" s="80"/>
      <c r="C111" s="74"/>
      <c r="D111" s="74"/>
      <c r="E111" s="74"/>
      <c r="F111" s="74"/>
      <c r="G111" s="74"/>
      <c r="H111" s="74"/>
      <c r="I111" s="81"/>
      <c r="J111" s="81"/>
      <c r="K111" s="81"/>
      <c r="L111" s="70"/>
      <c r="M111" s="70"/>
      <c r="N111" s="70"/>
      <c r="O111" s="70"/>
      <c r="P111" s="71"/>
      <c r="Q111" s="70"/>
      <c r="R111" s="70"/>
    </row>
    <row r="112" customFormat="false" ht="25.8" hidden="false" customHeight="false" outlineLevel="0" collapsed="false">
      <c r="A112" s="82"/>
      <c r="B112" s="83"/>
      <c r="I112" s="70"/>
      <c r="J112" s="70"/>
      <c r="K112" s="70"/>
      <c r="L112" s="70"/>
      <c r="M112" s="70"/>
      <c r="N112" s="70"/>
      <c r="O112" s="70"/>
      <c r="P112" s="71"/>
      <c r="Q112" s="70"/>
      <c r="R112" s="70"/>
    </row>
    <row r="113" customFormat="false" ht="25.8" hidden="false" customHeight="false" outlineLevel="0" collapsed="false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70"/>
      <c r="M113" s="70"/>
      <c r="N113" s="70"/>
      <c r="O113" s="70"/>
      <c r="P113" s="71"/>
      <c r="Q113" s="70"/>
      <c r="R113" s="70"/>
    </row>
    <row r="114" customFormat="false" ht="25.8" hidden="false" customHeight="false" outlineLevel="0" collapsed="false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70"/>
      <c r="M114" s="70"/>
      <c r="N114" s="70"/>
      <c r="O114" s="70"/>
      <c r="P114" s="71"/>
      <c r="Q114" s="70"/>
      <c r="R114" s="70"/>
    </row>
    <row r="115" customFormat="false" ht="25.8" hidden="false" customHeight="false" outlineLevel="0" collapsed="false">
      <c r="A115" s="82"/>
      <c r="B115" s="85"/>
      <c r="C115" s="85"/>
      <c r="D115" s="85"/>
      <c r="E115" s="85"/>
      <c r="F115" s="23"/>
      <c r="G115" s="23"/>
      <c r="H115" s="23"/>
      <c r="I115" s="86"/>
      <c r="J115" s="87"/>
      <c r="K115" s="70"/>
      <c r="L115" s="70"/>
      <c r="M115" s="70"/>
      <c r="N115" s="70"/>
      <c r="O115" s="70"/>
      <c r="P115" s="70"/>
      <c r="Q115" s="70"/>
      <c r="R115" s="70"/>
    </row>
  </sheetData>
  <sheetProtection sheet="true" password="ce28"/>
  <protectedRanges>
    <protectedRange name="ช่วง3" sqref="U5:V5"/>
    <protectedRange name="ช่วง1" sqref="A8:K107"/>
    <protectedRange name="ช่วง2" sqref="S1:T65536"/>
    <protectedRange name="ช่วง4" sqref="N8:N107"/>
  </protectedRanges>
  <mergeCells count="28">
    <mergeCell ref="A1:N4"/>
    <mergeCell ref="O1:Q4"/>
    <mergeCell ref="U1:AD1"/>
    <mergeCell ref="U3:V4"/>
    <mergeCell ref="W3:AA3"/>
    <mergeCell ref="AB3:AB4"/>
    <mergeCell ref="AC3:AC4"/>
    <mergeCell ref="AD3:AD4"/>
    <mergeCell ref="A5:N5"/>
    <mergeCell ref="U5:V5"/>
    <mergeCell ref="A6:A7"/>
    <mergeCell ref="B6:B7"/>
    <mergeCell ref="C6:C7"/>
    <mergeCell ref="D6:D7"/>
    <mergeCell ref="E6:E7"/>
    <mergeCell ref="F6:F7"/>
    <mergeCell ref="G6:K6"/>
    <mergeCell ref="L6:L7"/>
    <mergeCell ref="M6:M7"/>
    <mergeCell ref="N6:N7"/>
    <mergeCell ref="O6:O7"/>
    <mergeCell ref="P6:P7"/>
    <mergeCell ref="Q6:Q7"/>
    <mergeCell ref="R6:R7"/>
    <mergeCell ref="A108:F108"/>
    <mergeCell ref="A113:K113"/>
    <mergeCell ref="A114:K114"/>
    <mergeCell ref="B115:E115"/>
  </mergeCells>
  <dataValidations count="2">
    <dataValidation allowBlank="true" errorStyle="stop" operator="between" showDropDown="false" showErrorMessage="true" showInputMessage="false" sqref="U5" type="list">
      <formula1>$P$8:$P$107</formula1>
      <formula2>0</formula2>
    </dataValidation>
    <dataValidation allowBlank="true" errorStyle="stop" operator="between" showDropDown="false" showErrorMessage="true" showInputMessage="false" sqref="N8:N107" type="list">
      <formula1>$W$28:$W$34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Button 12">
              <controlPr defaultSize="0" print="false" autoFill="0" autoPict="0" macro="Module1.Conv">
                <anchor moveWithCells="true" sizeWithCells="false">
                  <from>
                    <xdr:col>14</xdr:col>
                    <xdr:colOff>156960</xdr:colOff>
                    <xdr:row>4</xdr:row>
                    <xdr:rowOff>161280</xdr:rowOff>
                  </from>
                  <to>
                    <xdr:col>15</xdr:col>
                    <xdr:colOff>-170640</xdr:colOff>
                    <xdr:row>5</xdr:row>
                    <xdr:rowOff>-97560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Button 42">
              <controlPr defaultSize="0" print="false" autoFill="0" autoPict="0" macro="Module3.HighlightDups">
                <anchor moveWithCells="true" sizeWithCells="false">
                  <from>
                    <xdr:col>1</xdr:col>
                    <xdr:colOff>266040</xdr:colOff>
                    <xdr:row>6</xdr:row>
                    <xdr:rowOff>60840</xdr:rowOff>
                  </from>
                  <to>
                    <xdr:col>2</xdr:col>
                    <xdr:colOff>-171000</xdr:colOff>
                    <xdr:row>7</xdr:row>
                    <xdr:rowOff>-428760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Button 46">
              <controlPr defaultSize="0" print="false" autoFill="0" autoPict="0" macro="Module4.HighlightDups2">
                <anchor moveWithCells="true" sizeWithCells="false">
                  <from>
                    <xdr:col>15</xdr:col>
                    <xdr:colOff>509040</xdr:colOff>
                    <xdr:row>6</xdr:row>
                    <xdr:rowOff>403560</xdr:rowOff>
                  </from>
                  <to>
                    <xdr:col>16</xdr:col>
                    <xdr:colOff>-530640</xdr:colOff>
                    <xdr:row>7</xdr:row>
                    <xdr:rowOff>-92880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ผ่านทุกเรคคอร์ด">
              <controlPr defaultSize="0" locked="1" autoFill="0" autoLine="0" autoPict="0" print="true" altText="Check Box 116">
                <anchor moveWithCells="true" sizeWithCells="false">
                  <from>
                    <xdr:col>17</xdr:col>
                    <xdr:colOff>77760</xdr:colOff>
                    <xdr:row>6</xdr:row>
                    <xdr:rowOff>74880</xdr:rowOff>
                  </from>
                  <to>
                    <xdr:col>18</xdr:col>
                    <xdr:colOff>-62280</xdr:colOff>
                    <xdr:row>7</xdr:row>
                    <xdr:rowOff>-496440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">
              <controlPr defaultSize="0" locked="1" autoFill="0" autoLine="0" autoPict="0" print="true" altText="Check Box 155">
                <anchor moveWithCells="true" sizeWithCells="false">
                  <from>
                    <xdr:col>17</xdr:col>
                    <xdr:colOff>15840</xdr:colOff>
                    <xdr:row>7</xdr:row>
                    <xdr:rowOff>15480</xdr:rowOff>
                  </from>
                  <to>
                    <xdr:col>18</xdr:col>
                    <xdr:colOff>-703080</xdr:colOff>
                    <xdr:row>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">
              <controlPr defaultSize="0" locked="1" autoFill="0" autoLine="0" autoPict="0" print="true" altText="Check Box 156">
                <anchor moveWithCells="true" sizeWithCells="false">
                  <from>
                    <xdr:col>17</xdr:col>
                    <xdr:colOff>15840</xdr:colOff>
                    <xdr:row>8</xdr:row>
                    <xdr:rowOff>7920</xdr:rowOff>
                  </from>
                  <to>
                    <xdr:col>18</xdr:col>
                    <xdr:colOff>-703080</xdr:colOff>
                    <xdr:row>9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9" name="">
              <controlPr defaultSize="0" locked="1" autoFill="0" autoLine="0" autoPict="0" print="true" altText="Check Box 157">
                <anchor moveWithCells="true" sizeWithCells="false">
                  <from>
                    <xdr:col>17</xdr:col>
                    <xdr:colOff>15840</xdr:colOff>
                    <xdr:row>9</xdr:row>
                    <xdr:rowOff>23400</xdr:rowOff>
                  </from>
                  <to>
                    <xdr:col>18</xdr:col>
                    <xdr:colOff>-703080</xdr:colOff>
                    <xdr:row>10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10" name="">
              <controlPr defaultSize="0" locked="1" autoFill="0" autoLine="0" autoPict="0" print="true" altText="Check Box 158">
                <anchor moveWithCells="true" sizeWithCells="false">
                  <from>
                    <xdr:col>17</xdr:col>
                    <xdr:colOff>15840</xdr:colOff>
                    <xdr:row>10</xdr:row>
                    <xdr:rowOff>23400</xdr:rowOff>
                  </from>
                  <to>
                    <xdr:col>18</xdr:col>
                    <xdr:colOff>-703080</xdr:colOff>
                    <xdr:row>11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11" name="">
              <controlPr defaultSize="0" locked="1" autoFill="0" autoLine="0" autoPict="0" print="true" altText="Check Box 159">
                <anchor moveWithCells="true" sizeWithCells="false">
                  <from>
                    <xdr:col>17</xdr:col>
                    <xdr:colOff>15840</xdr:colOff>
                    <xdr:row>11</xdr:row>
                    <xdr:rowOff>7920</xdr:rowOff>
                  </from>
                  <to>
                    <xdr:col>18</xdr:col>
                    <xdr:colOff>-703080</xdr:colOff>
                    <xdr:row>12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12" name="">
              <controlPr defaultSize="0" locked="1" autoFill="0" autoLine="0" autoPict="0" print="true" altText="Check Box 160">
                <anchor moveWithCells="true" sizeWithCells="false">
                  <from>
                    <xdr:col>17</xdr:col>
                    <xdr:colOff>15840</xdr:colOff>
                    <xdr:row>12</xdr:row>
                    <xdr:rowOff>7920</xdr:rowOff>
                  </from>
                  <to>
                    <xdr:col>18</xdr:col>
                    <xdr:colOff>-703080</xdr:colOff>
                    <xdr:row>13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13" name="">
              <controlPr defaultSize="0" locked="1" autoFill="0" autoLine="0" autoPict="0" print="true" altText="Check Box 161">
                <anchor moveWithCells="true" sizeWithCells="false">
                  <from>
                    <xdr:col>17</xdr:col>
                    <xdr:colOff>15840</xdr:colOff>
                    <xdr:row>13</xdr:row>
                    <xdr:rowOff>23400</xdr:rowOff>
                  </from>
                  <to>
                    <xdr:col>18</xdr:col>
                    <xdr:colOff>-703080</xdr:colOff>
                    <xdr:row>14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" r:id="rId14" name="">
              <controlPr defaultSize="0" locked="1" autoFill="0" autoLine="0" autoPict="0" print="true" altText="Check Box 162">
                <anchor moveWithCells="true" sizeWithCells="false">
                  <from>
                    <xdr:col>17</xdr:col>
                    <xdr:colOff>15840</xdr:colOff>
                    <xdr:row>14</xdr:row>
                    <xdr:rowOff>23400</xdr:rowOff>
                  </from>
                  <to>
                    <xdr:col>18</xdr:col>
                    <xdr:colOff>-703080</xdr:colOff>
                    <xdr:row>15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" r:id="rId15" name="">
              <controlPr defaultSize="0" locked="1" autoFill="0" autoLine="0" autoPict="0" print="true" altText="Check Box 163">
                <anchor moveWithCells="true" sizeWithCells="false">
                  <from>
                    <xdr:col>17</xdr:col>
                    <xdr:colOff>15840</xdr:colOff>
                    <xdr:row>15</xdr:row>
                    <xdr:rowOff>7920</xdr:rowOff>
                  </from>
                  <to>
                    <xdr:col>18</xdr:col>
                    <xdr:colOff>-703080</xdr:colOff>
                    <xdr:row>16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" r:id="rId16" name="">
              <controlPr defaultSize="0" locked="1" autoFill="0" autoLine="0" autoPict="0" print="true" altText="Check Box 164">
                <anchor moveWithCells="true" sizeWithCells="false">
                  <from>
                    <xdr:col>17</xdr:col>
                    <xdr:colOff>15840</xdr:colOff>
                    <xdr:row>16</xdr:row>
                    <xdr:rowOff>7920</xdr:rowOff>
                  </from>
                  <to>
                    <xdr:col>18</xdr:col>
                    <xdr:colOff>-703080</xdr:colOff>
                    <xdr:row>17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" r:id="rId17" name="">
              <controlPr defaultSize="0" locked="1" autoFill="0" autoLine="0" autoPict="0" print="true" altText="Check Box 165">
                <anchor moveWithCells="true" sizeWithCells="false">
                  <from>
                    <xdr:col>17</xdr:col>
                    <xdr:colOff>15840</xdr:colOff>
                    <xdr:row>17</xdr:row>
                    <xdr:rowOff>23400</xdr:rowOff>
                  </from>
                  <to>
                    <xdr:col>18</xdr:col>
                    <xdr:colOff>-703080</xdr:colOff>
                    <xdr:row>18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" r:id="rId18" name="">
              <controlPr defaultSize="0" locked="1" autoFill="0" autoLine="0" autoPict="0" print="true" altText="Check Box 166">
                <anchor moveWithCells="true" sizeWithCells="false">
                  <from>
                    <xdr:col>17</xdr:col>
                    <xdr:colOff>15840</xdr:colOff>
                    <xdr:row>18</xdr:row>
                    <xdr:rowOff>23400</xdr:rowOff>
                  </from>
                  <to>
                    <xdr:col>18</xdr:col>
                    <xdr:colOff>-703080</xdr:colOff>
                    <xdr:row>19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7" r:id="rId19" name="">
              <controlPr defaultSize="0" locked="1" autoFill="0" autoLine="0" autoPict="0" print="true" altText="Check Box 167">
                <anchor moveWithCells="true" sizeWithCells="false">
                  <from>
                    <xdr:col>17</xdr:col>
                    <xdr:colOff>15840</xdr:colOff>
                    <xdr:row>19</xdr:row>
                    <xdr:rowOff>7560</xdr:rowOff>
                  </from>
                  <to>
                    <xdr:col>18</xdr:col>
                    <xdr:colOff>-703080</xdr:colOff>
                    <xdr:row>20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" r:id="rId20" name="">
              <controlPr defaultSize="0" locked="1" autoFill="0" autoLine="0" autoPict="0" print="true" altText="Check Box 168">
                <anchor moveWithCells="true" sizeWithCells="false">
                  <from>
                    <xdr:col>17</xdr:col>
                    <xdr:colOff>15840</xdr:colOff>
                    <xdr:row>20</xdr:row>
                    <xdr:rowOff>7560</xdr:rowOff>
                  </from>
                  <to>
                    <xdr:col>18</xdr:col>
                    <xdr:colOff>-703080</xdr:colOff>
                    <xdr:row>21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" r:id="rId21" name="">
              <controlPr defaultSize="0" locked="1" autoFill="0" autoLine="0" autoPict="0" print="true" altText="Check Box 169">
                <anchor moveWithCells="true" sizeWithCells="false">
                  <from>
                    <xdr:col>17</xdr:col>
                    <xdr:colOff>15840</xdr:colOff>
                    <xdr:row>21</xdr:row>
                    <xdr:rowOff>23400</xdr:rowOff>
                  </from>
                  <to>
                    <xdr:col>18</xdr:col>
                    <xdr:colOff>-703080</xdr:colOff>
                    <xdr:row>22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" r:id="rId22" name="">
              <controlPr defaultSize="0" locked="1" autoFill="0" autoLine="0" autoPict="0" print="true" altText="Check Box 170">
                <anchor moveWithCells="true" sizeWithCells="false">
                  <from>
                    <xdr:col>17</xdr:col>
                    <xdr:colOff>15840</xdr:colOff>
                    <xdr:row>22</xdr:row>
                    <xdr:rowOff>23400</xdr:rowOff>
                  </from>
                  <to>
                    <xdr:col>18</xdr:col>
                    <xdr:colOff>-703080</xdr:colOff>
                    <xdr:row>23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" r:id="rId23" name="">
              <controlPr defaultSize="0" locked="1" autoFill="0" autoLine="0" autoPict="0" print="true" altText="Check Box 171">
                <anchor moveWithCells="true" sizeWithCells="false">
                  <from>
                    <xdr:col>17</xdr:col>
                    <xdr:colOff>15840</xdr:colOff>
                    <xdr:row>23</xdr:row>
                    <xdr:rowOff>7560</xdr:rowOff>
                  </from>
                  <to>
                    <xdr:col>18</xdr:col>
                    <xdr:colOff>-703080</xdr:colOff>
                    <xdr:row>24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" r:id="rId24" name="">
              <controlPr defaultSize="0" locked="1" autoFill="0" autoLine="0" autoPict="0" print="true" altText="Check Box 172">
                <anchor moveWithCells="true" sizeWithCells="false">
                  <from>
                    <xdr:col>17</xdr:col>
                    <xdr:colOff>15840</xdr:colOff>
                    <xdr:row>24</xdr:row>
                    <xdr:rowOff>7560</xdr:rowOff>
                  </from>
                  <to>
                    <xdr:col>18</xdr:col>
                    <xdr:colOff>-703080</xdr:colOff>
                    <xdr:row>25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" r:id="rId25" name="">
              <controlPr defaultSize="0" locked="1" autoFill="0" autoLine="0" autoPict="0" print="true" altText="Check Box 173">
                <anchor moveWithCells="true" sizeWithCells="false">
                  <from>
                    <xdr:col>17</xdr:col>
                    <xdr:colOff>15840</xdr:colOff>
                    <xdr:row>25</xdr:row>
                    <xdr:rowOff>23400</xdr:rowOff>
                  </from>
                  <to>
                    <xdr:col>18</xdr:col>
                    <xdr:colOff>-703080</xdr:colOff>
                    <xdr:row>26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" r:id="rId26" name="">
              <controlPr defaultSize="0" locked="1" autoFill="0" autoLine="0" autoPict="0" print="true" altText="Check Box 174">
                <anchor moveWithCells="true" sizeWithCells="false">
                  <from>
                    <xdr:col>17</xdr:col>
                    <xdr:colOff>15840</xdr:colOff>
                    <xdr:row>26</xdr:row>
                    <xdr:rowOff>23400</xdr:rowOff>
                  </from>
                  <to>
                    <xdr:col>18</xdr:col>
                    <xdr:colOff>-703080</xdr:colOff>
                    <xdr:row>27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27" name="">
              <controlPr defaultSize="0" locked="1" autoFill="0" autoLine="0" autoPict="0" print="true" altText="Check Box 175">
                <anchor moveWithCells="true" sizeWithCells="false">
                  <from>
                    <xdr:col>17</xdr:col>
                    <xdr:colOff>15840</xdr:colOff>
                    <xdr:row>27</xdr:row>
                    <xdr:rowOff>7920</xdr:rowOff>
                  </from>
                  <to>
                    <xdr:col>18</xdr:col>
                    <xdr:colOff>-703080</xdr:colOff>
                    <xdr:row>28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28" name="">
              <controlPr defaultSize="0" locked="1" autoFill="0" autoLine="0" autoPict="0" print="true" altText="Check Box 176">
                <anchor moveWithCells="true" sizeWithCells="false">
                  <from>
                    <xdr:col>17</xdr:col>
                    <xdr:colOff>15840</xdr:colOff>
                    <xdr:row>28</xdr:row>
                    <xdr:rowOff>7920</xdr:rowOff>
                  </from>
                  <to>
                    <xdr:col>18</xdr:col>
                    <xdr:colOff>-703080</xdr:colOff>
                    <xdr:row>29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9" name="">
              <controlPr defaultSize="0" locked="1" autoFill="0" autoLine="0" autoPict="0" print="true" altText="Check Box 177">
                <anchor moveWithCells="true" sizeWithCells="false">
                  <from>
                    <xdr:col>17</xdr:col>
                    <xdr:colOff>15840</xdr:colOff>
                    <xdr:row>29</xdr:row>
                    <xdr:rowOff>23400</xdr:rowOff>
                  </from>
                  <to>
                    <xdr:col>18</xdr:col>
                    <xdr:colOff>-703080</xdr:colOff>
                    <xdr:row>30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30" name="">
              <controlPr defaultSize="0" locked="1" autoFill="0" autoLine="0" autoPict="0" print="true" altText="Check Box 178">
                <anchor moveWithCells="true" sizeWithCells="false">
                  <from>
                    <xdr:col>17</xdr:col>
                    <xdr:colOff>15840</xdr:colOff>
                    <xdr:row>30</xdr:row>
                    <xdr:rowOff>23400</xdr:rowOff>
                  </from>
                  <to>
                    <xdr:col>18</xdr:col>
                    <xdr:colOff>-703080</xdr:colOff>
                    <xdr:row>31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31" name="">
              <controlPr defaultSize="0" locked="1" autoFill="0" autoLine="0" autoPict="0" print="true" altText="Check Box 179">
                <anchor moveWithCells="true" sizeWithCells="false">
                  <from>
                    <xdr:col>17</xdr:col>
                    <xdr:colOff>15840</xdr:colOff>
                    <xdr:row>31</xdr:row>
                    <xdr:rowOff>7920</xdr:rowOff>
                  </from>
                  <to>
                    <xdr:col>18</xdr:col>
                    <xdr:colOff>-703080</xdr:colOff>
                    <xdr:row>32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32" name="">
              <controlPr defaultSize="0" locked="1" autoFill="0" autoLine="0" autoPict="0" print="true" altText="Check Box 180">
                <anchor moveWithCells="true" sizeWithCells="false">
                  <from>
                    <xdr:col>17</xdr:col>
                    <xdr:colOff>15840</xdr:colOff>
                    <xdr:row>32</xdr:row>
                    <xdr:rowOff>7920</xdr:rowOff>
                  </from>
                  <to>
                    <xdr:col>18</xdr:col>
                    <xdr:colOff>-703080</xdr:colOff>
                    <xdr:row>33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33" name="">
              <controlPr defaultSize="0" locked="1" autoFill="0" autoLine="0" autoPict="0" print="true" altText="Check Box 181">
                <anchor moveWithCells="true" sizeWithCells="false">
                  <from>
                    <xdr:col>17</xdr:col>
                    <xdr:colOff>15840</xdr:colOff>
                    <xdr:row>33</xdr:row>
                    <xdr:rowOff>23400</xdr:rowOff>
                  </from>
                  <to>
                    <xdr:col>18</xdr:col>
                    <xdr:colOff>-703080</xdr:colOff>
                    <xdr:row>34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34" name="">
              <controlPr defaultSize="0" locked="1" autoFill="0" autoLine="0" autoPict="0" print="true" altText="Check Box 182">
                <anchor moveWithCells="true" sizeWithCells="false">
                  <from>
                    <xdr:col>17</xdr:col>
                    <xdr:colOff>15840</xdr:colOff>
                    <xdr:row>34</xdr:row>
                    <xdr:rowOff>23400</xdr:rowOff>
                  </from>
                  <to>
                    <xdr:col>18</xdr:col>
                    <xdr:colOff>-703080</xdr:colOff>
                    <xdr:row>35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35" name="">
              <controlPr defaultSize="0" locked="1" autoFill="0" autoLine="0" autoPict="0" print="true" altText="Check Box 183">
                <anchor moveWithCells="true" sizeWithCells="false">
                  <from>
                    <xdr:col>17</xdr:col>
                    <xdr:colOff>15840</xdr:colOff>
                    <xdr:row>35</xdr:row>
                    <xdr:rowOff>7920</xdr:rowOff>
                  </from>
                  <to>
                    <xdr:col>18</xdr:col>
                    <xdr:colOff>-703080</xdr:colOff>
                    <xdr:row>36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36" name="">
              <controlPr defaultSize="0" locked="1" autoFill="0" autoLine="0" autoPict="0" print="true" altText="Check Box 184">
                <anchor moveWithCells="true" sizeWithCells="false">
                  <from>
                    <xdr:col>17</xdr:col>
                    <xdr:colOff>15840</xdr:colOff>
                    <xdr:row>36</xdr:row>
                    <xdr:rowOff>7920</xdr:rowOff>
                  </from>
                  <to>
                    <xdr:col>18</xdr:col>
                    <xdr:colOff>-703080</xdr:colOff>
                    <xdr:row>37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37" name="">
              <controlPr defaultSize="0" locked="1" autoFill="0" autoLine="0" autoPict="0" print="true" altText="Check Box 185">
                <anchor moveWithCells="true" sizeWithCells="false">
                  <from>
                    <xdr:col>17</xdr:col>
                    <xdr:colOff>15840</xdr:colOff>
                    <xdr:row>37</xdr:row>
                    <xdr:rowOff>23400</xdr:rowOff>
                  </from>
                  <to>
                    <xdr:col>18</xdr:col>
                    <xdr:colOff>-703080</xdr:colOff>
                    <xdr:row>38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38" name="">
              <controlPr defaultSize="0" locked="1" autoFill="0" autoLine="0" autoPict="0" print="true" altText="Check Box 186">
                <anchor moveWithCells="true" sizeWithCells="false">
                  <from>
                    <xdr:col>17</xdr:col>
                    <xdr:colOff>15840</xdr:colOff>
                    <xdr:row>38</xdr:row>
                    <xdr:rowOff>23400</xdr:rowOff>
                  </from>
                  <to>
                    <xdr:col>18</xdr:col>
                    <xdr:colOff>-703080</xdr:colOff>
                    <xdr:row>39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39" name="">
              <controlPr defaultSize="0" locked="1" autoFill="0" autoLine="0" autoPict="0" print="true" altText="Check Box 187">
                <anchor moveWithCells="true" sizeWithCells="false">
                  <from>
                    <xdr:col>17</xdr:col>
                    <xdr:colOff>15840</xdr:colOff>
                    <xdr:row>39</xdr:row>
                    <xdr:rowOff>7920</xdr:rowOff>
                  </from>
                  <to>
                    <xdr:col>18</xdr:col>
                    <xdr:colOff>-703080</xdr:colOff>
                    <xdr:row>40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40" name="">
              <controlPr defaultSize="0" locked="1" autoFill="0" autoLine="0" autoPict="0" print="true" altText="Check Box 188">
                <anchor moveWithCells="true" sizeWithCells="false">
                  <from>
                    <xdr:col>17</xdr:col>
                    <xdr:colOff>15840</xdr:colOff>
                    <xdr:row>40</xdr:row>
                    <xdr:rowOff>7920</xdr:rowOff>
                  </from>
                  <to>
                    <xdr:col>18</xdr:col>
                    <xdr:colOff>-703080</xdr:colOff>
                    <xdr:row>41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41" name="">
              <controlPr defaultSize="0" locked="1" autoFill="0" autoLine="0" autoPict="0" print="true" altText="Check Box 189">
                <anchor moveWithCells="true" sizeWithCells="false">
                  <from>
                    <xdr:col>17</xdr:col>
                    <xdr:colOff>15840</xdr:colOff>
                    <xdr:row>41</xdr:row>
                    <xdr:rowOff>23400</xdr:rowOff>
                  </from>
                  <to>
                    <xdr:col>18</xdr:col>
                    <xdr:colOff>-703080</xdr:colOff>
                    <xdr:row>42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42" name="">
              <controlPr defaultSize="0" locked="1" autoFill="0" autoLine="0" autoPict="0" print="true" altText="Check Box 190">
                <anchor moveWithCells="true" sizeWithCells="false">
                  <from>
                    <xdr:col>17</xdr:col>
                    <xdr:colOff>15840</xdr:colOff>
                    <xdr:row>42</xdr:row>
                    <xdr:rowOff>23400</xdr:rowOff>
                  </from>
                  <to>
                    <xdr:col>18</xdr:col>
                    <xdr:colOff>-703080</xdr:colOff>
                    <xdr:row>43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43" name="">
              <controlPr defaultSize="0" locked="1" autoFill="0" autoLine="0" autoPict="0" print="true" altText="Check Box 191">
                <anchor moveWithCells="true" sizeWithCells="false">
                  <from>
                    <xdr:col>17</xdr:col>
                    <xdr:colOff>15840</xdr:colOff>
                    <xdr:row>43</xdr:row>
                    <xdr:rowOff>7560</xdr:rowOff>
                  </from>
                  <to>
                    <xdr:col>18</xdr:col>
                    <xdr:colOff>-703080</xdr:colOff>
                    <xdr:row>44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44" name="">
              <controlPr defaultSize="0" locked="1" autoFill="0" autoLine="0" autoPict="0" print="true" altText="Check Box 192">
                <anchor moveWithCells="true" sizeWithCells="false">
                  <from>
                    <xdr:col>17</xdr:col>
                    <xdr:colOff>15840</xdr:colOff>
                    <xdr:row>44</xdr:row>
                    <xdr:rowOff>7560</xdr:rowOff>
                  </from>
                  <to>
                    <xdr:col>18</xdr:col>
                    <xdr:colOff>-703080</xdr:colOff>
                    <xdr:row>45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45" name="">
              <controlPr defaultSize="0" locked="1" autoFill="0" autoLine="0" autoPict="0" print="true" altText="Check Box 193">
                <anchor moveWithCells="true" sizeWithCells="false">
                  <from>
                    <xdr:col>17</xdr:col>
                    <xdr:colOff>15840</xdr:colOff>
                    <xdr:row>45</xdr:row>
                    <xdr:rowOff>23400</xdr:rowOff>
                  </from>
                  <to>
                    <xdr:col>18</xdr:col>
                    <xdr:colOff>-703080</xdr:colOff>
                    <xdr:row>46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46" name="">
              <controlPr defaultSize="0" locked="1" autoFill="0" autoLine="0" autoPict="0" print="true" altText="Check Box 194">
                <anchor moveWithCells="true" sizeWithCells="false">
                  <from>
                    <xdr:col>17</xdr:col>
                    <xdr:colOff>15840</xdr:colOff>
                    <xdr:row>46</xdr:row>
                    <xdr:rowOff>23400</xdr:rowOff>
                  </from>
                  <to>
                    <xdr:col>18</xdr:col>
                    <xdr:colOff>-703080</xdr:colOff>
                    <xdr:row>47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47" name="">
              <controlPr defaultSize="0" locked="1" autoFill="0" autoLine="0" autoPict="0" print="true" altText="Check Box 195">
                <anchor moveWithCells="true" sizeWithCells="false">
                  <from>
                    <xdr:col>17</xdr:col>
                    <xdr:colOff>15840</xdr:colOff>
                    <xdr:row>47</xdr:row>
                    <xdr:rowOff>7560</xdr:rowOff>
                  </from>
                  <to>
                    <xdr:col>18</xdr:col>
                    <xdr:colOff>-703080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48" name="">
              <controlPr defaultSize="0" locked="1" autoFill="0" autoLine="0" autoPict="0" print="true" altText="Check Box 196">
                <anchor moveWithCells="true" sizeWithCells="false">
                  <from>
                    <xdr:col>17</xdr:col>
                    <xdr:colOff>15840</xdr:colOff>
                    <xdr:row>48</xdr:row>
                    <xdr:rowOff>7560</xdr:rowOff>
                  </from>
                  <to>
                    <xdr:col>18</xdr:col>
                    <xdr:colOff>-703080</xdr:colOff>
                    <xdr:row>49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49" name="">
              <controlPr defaultSize="0" locked="1" autoFill="0" autoLine="0" autoPict="0" print="true" altText="Check Box 197">
                <anchor moveWithCells="true" sizeWithCells="false">
                  <from>
                    <xdr:col>17</xdr:col>
                    <xdr:colOff>15840</xdr:colOff>
                    <xdr:row>49</xdr:row>
                    <xdr:rowOff>23400</xdr:rowOff>
                  </from>
                  <to>
                    <xdr:col>18</xdr:col>
                    <xdr:colOff>-703080</xdr:colOff>
                    <xdr:row>50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50" name="">
              <controlPr defaultSize="0" locked="1" autoFill="0" autoLine="0" autoPict="0" print="true" altText="Check Box 198">
                <anchor moveWithCells="true" sizeWithCells="false">
                  <from>
                    <xdr:col>17</xdr:col>
                    <xdr:colOff>15840</xdr:colOff>
                    <xdr:row>50</xdr:row>
                    <xdr:rowOff>23400</xdr:rowOff>
                  </from>
                  <to>
                    <xdr:col>18</xdr:col>
                    <xdr:colOff>-703080</xdr:colOff>
                    <xdr:row>51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51" name="">
              <controlPr defaultSize="0" locked="1" autoFill="0" autoLine="0" autoPict="0" print="true" altText="Check Box 199">
                <anchor moveWithCells="true" sizeWithCells="false">
                  <from>
                    <xdr:col>17</xdr:col>
                    <xdr:colOff>15840</xdr:colOff>
                    <xdr:row>51</xdr:row>
                    <xdr:rowOff>7920</xdr:rowOff>
                  </from>
                  <to>
                    <xdr:col>18</xdr:col>
                    <xdr:colOff>-703080</xdr:colOff>
                    <xdr:row>52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52" name="">
              <controlPr defaultSize="0" locked="1" autoFill="0" autoLine="0" autoPict="0" print="true" altText="Check Box 200">
                <anchor moveWithCells="true" sizeWithCells="false">
                  <from>
                    <xdr:col>17</xdr:col>
                    <xdr:colOff>15840</xdr:colOff>
                    <xdr:row>52</xdr:row>
                    <xdr:rowOff>7920</xdr:rowOff>
                  </from>
                  <to>
                    <xdr:col>18</xdr:col>
                    <xdr:colOff>-703080</xdr:colOff>
                    <xdr:row>53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53" name="">
              <controlPr defaultSize="0" locked="1" autoFill="0" autoLine="0" autoPict="0" print="true" altText="Check Box 201">
                <anchor moveWithCells="true" sizeWithCells="false">
                  <from>
                    <xdr:col>17</xdr:col>
                    <xdr:colOff>15840</xdr:colOff>
                    <xdr:row>53</xdr:row>
                    <xdr:rowOff>23400</xdr:rowOff>
                  </from>
                  <to>
                    <xdr:col>18</xdr:col>
                    <xdr:colOff>-703080</xdr:colOff>
                    <xdr:row>54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54" name="">
              <controlPr defaultSize="0" locked="1" autoFill="0" autoLine="0" autoPict="0" print="true" altText="Check Box 202">
                <anchor moveWithCells="true" sizeWithCells="false">
                  <from>
                    <xdr:col>17</xdr:col>
                    <xdr:colOff>15840</xdr:colOff>
                    <xdr:row>54</xdr:row>
                    <xdr:rowOff>23400</xdr:rowOff>
                  </from>
                  <to>
                    <xdr:col>18</xdr:col>
                    <xdr:colOff>-703080</xdr:colOff>
                    <xdr:row>55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55" name="">
              <controlPr defaultSize="0" locked="1" autoFill="0" autoLine="0" autoPict="0" print="true" altText="Check Box 203">
                <anchor moveWithCells="true" sizeWithCells="false">
                  <from>
                    <xdr:col>17</xdr:col>
                    <xdr:colOff>15840</xdr:colOff>
                    <xdr:row>55</xdr:row>
                    <xdr:rowOff>7920</xdr:rowOff>
                  </from>
                  <to>
                    <xdr:col>18</xdr:col>
                    <xdr:colOff>-703080</xdr:colOff>
                    <xdr:row>56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56" name="">
              <controlPr defaultSize="0" locked="1" autoFill="0" autoLine="0" autoPict="0" print="true" altText="Check Box 204">
                <anchor moveWithCells="true" sizeWithCells="false">
                  <from>
                    <xdr:col>17</xdr:col>
                    <xdr:colOff>15840</xdr:colOff>
                    <xdr:row>56</xdr:row>
                    <xdr:rowOff>7920</xdr:rowOff>
                  </from>
                  <to>
                    <xdr:col>18</xdr:col>
                    <xdr:colOff>-703080</xdr:colOff>
                    <xdr:row>57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57" name="">
              <controlPr defaultSize="0" locked="1" autoFill="0" autoLine="0" autoPict="0" print="true" altText="Check Box 205">
                <anchor moveWithCells="true" sizeWithCells="false">
                  <from>
                    <xdr:col>17</xdr:col>
                    <xdr:colOff>15840</xdr:colOff>
                    <xdr:row>57</xdr:row>
                    <xdr:rowOff>23400</xdr:rowOff>
                  </from>
                  <to>
                    <xdr:col>18</xdr:col>
                    <xdr:colOff>-703080</xdr:colOff>
                    <xdr:row>58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58" name="">
              <controlPr defaultSize="0" locked="1" autoFill="0" autoLine="0" autoPict="0" print="true" altText="Check Box 206">
                <anchor moveWithCells="true" sizeWithCells="false">
                  <from>
                    <xdr:col>17</xdr:col>
                    <xdr:colOff>15840</xdr:colOff>
                    <xdr:row>58</xdr:row>
                    <xdr:rowOff>23400</xdr:rowOff>
                  </from>
                  <to>
                    <xdr:col>18</xdr:col>
                    <xdr:colOff>-703080</xdr:colOff>
                    <xdr:row>59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59" name="">
              <controlPr defaultSize="0" locked="1" autoFill="0" autoLine="0" autoPict="0" print="true" altText="Check Box 207">
                <anchor moveWithCells="true" sizeWithCells="false">
                  <from>
                    <xdr:col>17</xdr:col>
                    <xdr:colOff>15840</xdr:colOff>
                    <xdr:row>59</xdr:row>
                    <xdr:rowOff>7920</xdr:rowOff>
                  </from>
                  <to>
                    <xdr:col>18</xdr:col>
                    <xdr:colOff>-703080</xdr:colOff>
                    <xdr:row>60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60" name="">
              <controlPr defaultSize="0" locked="1" autoFill="0" autoLine="0" autoPict="0" print="true" altText="Check Box 208">
                <anchor moveWithCells="true" sizeWithCells="false">
                  <from>
                    <xdr:col>17</xdr:col>
                    <xdr:colOff>15840</xdr:colOff>
                    <xdr:row>60</xdr:row>
                    <xdr:rowOff>7920</xdr:rowOff>
                  </from>
                  <to>
                    <xdr:col>18</xdr:col>
                    <xdr:colOff>-703080</xdr:colOff>
                    <xdr:row>61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61" name="">
              <controlPr defaultSize="0" locked="1" autoFill="0" autoLine="0" autoPict="0" print="true" altText="Check Box 209">
                <anchor moveWithCells="true" sizeWithCells="false">
                  <from>
                    <xdr:col>17</xdr:col>
                    <xdr:colOff>15840</xdr:colOff>
                    <xdr:row>61</xdr:row>
                    <xdr:rowOff>23400</xdr:rowOff>
                  </from>
                  <to>
                    <xdr:col>18</xdr:col>
                    <xdr:colOff>-703080</xdr:colOff>
                    <xdr:row>62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62" name="">
              <controlPr defaultSize="0" locked="1" autoFill="0" autoLine="0" autoPict="0" print="true" altText="Check Box 210">
                <anchor moveWithCells="true" sizeWithCells="false">
                  <from>
                    <xdr:col>17</xdr:col>
                    <xdr:colOff>15840</xdr:colOff>
                    <xdr:row>62</xdr:row>
                    <xdr:rowOff>23400</xdr:rowOff>
                  </from>
                  <to>
                    <xdr:col>18</xdr:col>
                    <xdr:colOff>-703080</xdr:colOff>
                    <xdr:row>63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63" name="">
              <controlPr defaultSize="0" locked="1" autoFill="0" autoLine="0" autoPict="0" print="true" altText="Check Box 211">
                <anchor moveWithCells="true" sizeWithCells="false">
                  <from>
                    <xdr:col>17</xdr:col>
                    <xdr:colOff>15840</xdr:colOff>
                    <xdr:row>63</xdr:row>
                    <xdr:rowOff>7920</xdr:rowOff>
                  </from>
                  <to>
                    <xdr:col>18</xdr:col>
                    <xdr:colOff>-703080</xdr:colOff>
                    <xdr:row>64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64" name="">
              <controlPr defaultSize="0" locked="1" autoFill="0" autoLine="0" autoPict="0" print="true" altText="Check Box 212">
                <anchor moveWithCells="true" sizeWithCells="false">
                  <from>
                    <xdr:col>17</xdr:col>
                    <xdr:colOff>15840</xdr:colOff>
                    <xdr:row>64</xdr:row>
                    <xdr:rowOff>7920</xdr:rowOff>
                  </from>
                  <to>
                    <xdr:col>18</xdr:col>
                    <xdr:colOff>-703080</xdr:colOff>
                    <xdr:row>65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65" name="">
              <controlPr defaultSize="0" locked="1" autoFill="0" autoLine="0" autoPict="0" print="true" altText="Check Box 213">
                <anchor moveWithCells="true" sizeWithCells="false">
                  <from>
                    <xdr:col>17</xdr:col>
                    <xdr:colOff>15840</xdr:colOff>
                    <xdr:row>65</xdr:row>
                    <xdr:rowOff>23400</xdr:rowOff>
                  </from>
                  <to>
                    <xdr:col>18</xdr:col>
                    <xdr:colOff>-703080</xdr:colOff>
                    <xdr:row>66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66" name="">
              <controlPr defaultSize="0" locked="1" autoFill="0" autoLine="0" autoPict="0" print="true" altText="Check Box 214">
                <anchor moveWithCells="true" sizeWithCells="false">
                  <from>
                    <xdr:col>17</xdr:col>
                    <xdr:colOff>15840</xdr:colOff>
                    <xdr:row>66</xdr:row>
                    <xdr:rowOff>23400</xdr:rowOff>
                  </from>
                  <to>
                    <xdr:col>18</xdr:col>
                    <xdr:colOff>-703080</xdr:colOff>
                    <xdr:row>67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67" name="">
              <controlPr defaultSize="0" locked="1" autoFill="0" autoLine="0" autoPict="0" print="true" altText="Check Box 215">
                <anchor moveWithCells="true" sizeWithCells="false">
                  <from>
                    <xdr:col>17</xdr:col>
                    <xdr:colOff>15840</xdr:colOff>
                    <xdr:row>67</xdr:row>
                    <xdr:rowOff>7560</xdr:rowOff>
                  </from>
                  <to>
                    <xdr:col>18</xdr:col>
                    <xdr:colOff>-703080</xdr:colOff>
                    <xdr:row>68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68" name="">
              <controlPr defaultSize="0" locked="1" autoFill="0" autoLine="0" autoPict="0" print="true" altText="Check Box 216">
                <anchor moveWithCells="true" sizeWithCells="false">
                  <from>
                    <xdr:col>17</xdr:col>
                    <xdr:colOff>15840</xdr:colOff>
                    <xdr:row>68</xdr:row>
                    <xdr:rowOff>7560</xdr:rowOff>
                  </from>
                  <to>
                    <xdr:col>18</xdr:col>
                    <xdr:colOff>-703080</xdr:colOff>
                    <xdr:row>69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69" name="">
              <controlPr defaultSize="0" locked="1" autoFill="0" autoLine="0" autoPict="0" print="true" altText="Check Box 217">
                <anchor moveWithCells="true" sizeWithCells="false">
                  <from>
                    <xdr:col>17</xdr:col>
                    <xdr:colOff>15840</xdr:colOff>
                    <xdr:row>69</xdr:row>
                    <xdr:rowOff>23400</xdr:rowOff>
                  </from>
                  <to>
                    <xdr:col>18</xdr:col>
                    <xdr:colOff>-703080</xdr:colOff>
                    <xdr:row>70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70" name="">
              <controlPr defaultSize="0" locked="1" autoFill="0" autoLine="0" autoPict="0" print="true" altText="Check Box 218">
                <anchor moveWithCells="true" sizeWithCells="false">
                  <from>
                    <xdr:col>17</xdr:col>
                    <xdr:colOff>15840</xdr:colOff>
                    <xdr:row>70</xdr:row>
                    <xdr:rowOff>23400</xdr:rowOff>
                  </from>
                  <to>
                    <xdr:col>18</xdr:col>
                    <xdr:colOff>-703080</xdr:colOff>
                    <xdr:row>71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71" name="">
              <controlPr defaultSize="0" locked="1" autoFill="0" autoLine="0" autoPict="0" print="true" altText="Check Box 219">
                <anchor moveWithCells="true" sizeWithCells="false">
                  <from>
                    <xdr:col>17</xdr:col>
                    <xdr:colOff>15840</xdr:colOff>
                    <xdr:row>71</xdr:row>
                    <xdr:rowOff>7560</xdr:rowOff>
                  </from>
                  <to>
                    <xdr:col>18</xdr:col>
                    <xdr:colOff>-703080</xdr:colOff>
                    <xdr:row>72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72" name="">
              <controlPr defaultSize="0" locked="1" autoFill="0" autoLine="0" autoPict="0" print="true" altText="Check Box 220">
                <anchor moveWithCells="true" sizeWithCells="false">
                  <from>
                    <xdr:col>17</xdr:col>
                    <xdr:colOff>15840</xdr:colOff>
                    <xdr:row>72</xdr:row>
                    <xdr:rowOff>7560</xdr:rowOff>
                  </from>
                  <to>
                    <xdr:col>18</xdr:col>
                    <xdr:colOff>-703080</xdr:colOff>
                    <xdr:row>73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73" name="">
              <controlPr defaultSize="0" locked="1" autoFill="0" autoLine="0" autoPict="0" print="true" altText="Check Box 221">
                <anchor moveWithCells="true" sizeWithCells="false">
                  <from>
                    <xdr:col>17</xdr:col>
                    <xdr:colOff>15840</xdr:colOff>
                    <xdr:row>73</xdr:row>
                    <xdr:rowOff>23400</xdr:rowOff>
                  </from>
                  <to>
                    <xdr:col>18</xdr:col>
                    <xdr:colOff>-703080</xdr:colOff>
                    <xdr:row>74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74" name="">
              <controlPr defaultSize="0" locked="1" autoFill="0" autoLine="0" autoPict="0" print="true" altText="Check Box 222">
                <anchor moveWithCells="true" sizeWithCells="false">
                  <from>
                    <xdr:col>17</xdr:col>
                    <xdr:colOff>15840</xdr:colOff>
                    <xdr:row>74</xdr:row>
                    <xdr:rowOff>23400</xdr:rowOff>
                  </from>
                  <to>
                    <xdr:col>18</xdr:col>
                    <xdr:colOff>-703080</xdr:colOff>
                    <xdr:row>75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75" name="">
              <controlPr defaultSize="0" locked="1" autoFill="0" autoLine="0" autoPict="0" print="true" altText="Check Box 223">
                <anchor moveWithCells="true" sizeWithCells="false">
                  <from>
                    <xdr:col>17</xdr:col>
                    <xdr:colOff>15840</xdr:colOff>
                    <xdr:row>75</xdr:row>
                    <xdr:rowOff>7920</xdr:rowOff>
                  </from>
                  <to>
                    <xdr:col>18</xdr:col>
                    <xdr:colOff>-703080</xdr:colOff>
                    <xdr:row>76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76" name="">
              <controlPr defaultSize="0" locked="1" autoFill="0" autoLine="0" autoPict="0" print="true" altText="Check Box 224">
                <anchor moveWithCells="true" sizeWithCells="false">
                  <from>
                    <xdr:col>17</xdr:col>
                    <xdr:colOff>15840</xdr:colOff>
                    <xdr:row>76</xdr:row>
                    <xdr:rowOff>7920</xdr:rowOff>
                  </from>
                  <to>
                    <xdr:col>18</xdr:col>
                    <xdr:colOff>-703080</xdr:colOff>
                    <xdr:row>77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77" name="">
              <controlPr defaultSize="0" locked="1" autoFill="0" autoLine="0" autoPict="0" print="true" altText="Check Box 225">
                <anchor moveWithCells="true" sizeWithCells="false">
                  <from>
                    <xdr:col>17</xdr:col>
                    <xdr:colOff>15840</xdr:colOff>
                    <xdr:row>77</xdr:row>
                    <xdr:rowOff>23400</xdr:rowOff>
                  </from>
                  <to>
                    <xdr:col>18</xdr:col>
                    <xdr:colOff>-703080</xdr:colOff>
                    <xdr:row>78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78" name="">
              <controlPr defaultSize="0" locked="1" autoFill="0" autoLine="0" autoPict="0" print="true" altText="Check Box 226">
                <anchor moveWithCells="true" sizeWithCells="false">
                  <from>
                    <xdr:col>17</xdr:col>
                    <xdr:colOff>15840</xdr:colOff>
                    <xdr:row>78</xdr:row>
                    <xdr:rowOff>23400</xdr:rowOff>
                  </from>
                  <to>
                    <xdr:col>18</xdr:col>
                    <xdr:colOff>-703080</xdr:colOff>
                    <xdr:row>79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79" name="">
              <controlPr defaultSize="0" locked="1" autoFill="0" autoLine="0" autoPict="0" print="true" altText="Check Box 227">
                <anchor moveWithCells="true" sizeWithCells="false">
                  <from>
                    <xdr:col>17</xdr:col>
                    <xdr:colOff>15840</xdr:colOff>
                    <xdr:row>79</xdr:row>
                    <xdr:rowOff>7920</xdr:rowOff>
                  </from>
                  <to>
                    <xdr:col>18</xdr:col>
                    <xdr:colOff>-703080</xdr:colOff>
                    <xdr:row>80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80" name="">
              <controlPr defaultSize="0" locked="1" autoFill="0" autoLine="0" autoPict="0" print="true" altText="Check Box 228">
                <anchor moveWithCells="true" sizeWithCells="false">
                  <from>
                    <xdr:col>17</xdr:col>
                    <xdr:colOff>15840</xdr:colOff>
                    <xdr:row>80</xdr:row>
                    <xdr:rowOff>7920</xdr:rowOff>
                  </from>
                  <to>
                    <xdr:col>18</xdr:col>
                    <xdr:colOff>-703080</xdr:colOff>
                    <xdr:row>81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81" name="">
              <controlPr defaultSize="0" locked="1" autoFill="0" autoLine="0" autoPict="0" print="true" altText="Check Box 229">
                <anchor moveWithCells="true" sizeWithCells="false">
                  <from>
                    <xdr:col>17</xdr:col>
                    <xdr:colOff>15840</xdr:colOff>
                    <xdr:row>81</xdr:row>
                    <xdr:rowOff>23400</xdr:rowOff>
                  </from>
                  <to>
                    <xdr:col>18</xdr:col>
                    <xdr:colOff>-703080</xdr:colOff>
                    <xdr:row>82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82" name="">
              <controlPr defaultSize="0" locked="1" autoFill="0" autoLine="0" autoPict="0" print="true" altText="Check Box 230">
                <anchor moveWithCells="true" sizeWithCells="false">
                  <from>
                    <xdr:col>17</xdr:col>
                    <xdr:colOff>15840</xdr:colOff>
                    <xdr:row>82</xdr:row>
                    <xdr:rowOff>23400</xdr:rowOff>
                  </from>
                  <to>
                    <xdr:col>18</xdr:col>
                    <xdr:colOff>-703080</xdr:colOff>
                    <xdr:row>83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83" name="">
              <controlPr defaultSize="0" locked="1" autoFill="0" autoLine="0" autoPict="0" print="true" altText="Check Box 231">
                <anchor moveWithCells="true" sizeWithCells="false">
                  <from>
                    <xdr:col>17</xdr:col>
                    <xdr:colOff>15840</xdr:colOff>
                    <xdr:row>83</xdr:row>
                    <xdr:rowOff>7920</xdr:rowOff>
                  </from>
                  <to>
                    <xdr:col>18</xdr:col>
                    <xdr:colOff>-703080</xdr:colOff>
                    <xdr:row>84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84" name="">
              <controlPr defaultSize="0" locked="1" autoFill="0" autoLine="0" autoPict="0" print="true" altText="Check Box 232">
                <anchor moveWithCells="true" sizeWithCells="false">
                  <from>
                    <xdr:col>17</xdr:col>
                    <xdr:colOff>15840</xdr:colOff>
                    <xdr:row>84</xdr:row>
                    <xdr:rowOff>7920</xdr:rowOff>
                  </from>
                  <to>
                    <xdr:col>18</xdr:col>
                    <xdr:colOff>-703080</xdr:colOff>
                    <xdr:row>85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85" name="">
              <controlPr defaultSize="0" locked="1" autoFill="0" autoLine="0" autoPict="0" print="true" altText="Check Box 233">
                <anchor moveWithCells="true" sizeWithCells="false">
                  <from>
                    <xdr:col>17</xdr:col>
                    <xdr:colOff>15840</xdr:colOff>
                    <xdr:row>85</xdr:row>
                    <xdr:rowOff>23400</xdr:rowOff>
                  </from>
                  <to>
                    <xdr:col>18</xdr:col>
                    <xdr:colOff>-703080</xdr:colOff>
                    <xdr:row>86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86" name="">
              <controlPr defaultSize="0" locked="1" autoFill="0" autoLine="0" autoPict="0" print="true" altText="Check Box 234">
                <anchor moveWithCells="true" sizeWithCells="false">
                  <from>
                    <xdr:col>17</xdr:col>
                    <xdr:colOff>15840</xdr:colOff>
                    <xdr:row>86</xdr:row>
                    <xdr:rowOff>23400</xdr:rowOff>
                  </from>
                  <to>
                    <xdr:col>18</xdr:col>
                    <xdr:colOff>-703080</xdr:colOff>
                    <xdr:row>87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87" name="">
              <controlPr defaultSize="0" locked="1" autoFill="0" autoLine="0" autoPict="0" print="true" altText="Check Box 235">
                <anchor moveWithCells="true" sizeWithCells="false">
                  <from>
                    <xdr:col>17</xdr:col>
                    <xdr:colOff>15840</xdr:colOff>
                    <xdr:row>87</xdr:row>
                    <xdr:rowOff>7920</xdr:rowOff>
                  </from>
                  <to>
                    <xdr:col>18</xdr:col>
                    <xdr:colOff>-703080</xdr:colOff>
                    <xdr:row>88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88" name="">
              <controlPr defaultSize="0" locked="1" autoFill="0" autoLine="0" autoPict="0" print="true" altText="Check Box 236">
                <anchor moveWithCells="true" sizeWithCells="false">
                  <from>
                    <xdr:col>17</xdr:col>
                    <xdr:colOff>15840</xdr:colOff>
                    <xdr:row>88</xdr:row>
                    <xdr:rowOff>7920</xdr:rowOff>
                  </from>
                  <to>
                    <xdr:col>18</xdr:col>
                    <xdr:colOff>-703080</xdr:colOff>
                    <xdr:row>89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89" name="">
              <controlPr defaultSize="0" locked="1" autoFill="0" autoLine="0" autoPict="0" print="true" altText="Check Box 237">
                <anchor moveWithCells="true" sizeWithCells="false">
                  <from>
                    <xdr:col>17</xdr:col>
                    <xdr:colOff>15840</xdr:colOff>
                    <xdr:row>89</xdr:row>
                    <xdr:rowOff>23400</xdr:rowOff>
                  </from>
                  <to>
                    <xdr:col>18</xdr:col>
                    <xdr:colOff>-703080</xdr:colOff>
                    <xdr:row>90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90" name="">
              <controlPr defaultSize="0" locked="1" autoFill="0" autoLine="0" autoPict="0" print="true" altText="Check Box 238">
                <anchor moveWithCells="true" sizeWithCells="false">
                  <from>
                    <xdr:col>17</xdr:col>
                    <xdr:colOff>15840</xdr:colOff>
                    <xdr:row>90</xdr:row>
                    <xdr:rowOff>23400</xdr:rowOff>
                  </from>
                  <to>
                    <xdr:col>18</xdr:col>
                    <xdr:colOff>-703080</xdr:colOff>
                    <xdr:row>91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91" name="">
              <controlPr defaultSize="0" locked="1" autoFill="0" autoLine="0" autoPict="0" print="true" altText="Check Box 239">
                <anchor moveWithCells="true" sizeWithCells="false">
                  <from>
                    <xdr:col>17</xdr:col>
                    <xdr:colOff>15840</xdr:colOff>
                    <xdr:row>91</xdr:row>
                    <xdr:rowOff>7560</xdr:rowOff>
                  </from>
                  <to>
                    <xdr:col>18</xdr:col>
                    <xdr:colOff>-703080</xdr:colOff>
                    <xdr:row>92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92" name="">
              <controlPr defaultSize="0" locked="1" autoFill="0" autoLine="0" autoPict="0" print="true" altText="Check Box 240">
                <anchor moveWithCells="true" sizeWithCells="false">
                  <from>
                    <xdr:col>17</xdr:col>
                    <xdr:colOff>15840</xdr:colOff>
                    <xdr:row>92</xdr:row>
                    <xdr:rowOff>7560</xdr:rowOff>
                  </from>
                  <to>
                    <xdr:col>18</xdr:col>
                    <xdr:colOff>-703080</xdr:colOff>
                    <xdr:row>93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93" name="">
              <controlPr defaultSize="0" locked="1" autoFill="0" autoLine="0" autoPict="0" print="true" altText="Check Box 241">
                <anchor moveWithCells="true" sizeWithCells="false">
                  <from>
                    <xdr:col>17</xdr:col>
                    <xdr:colOff>15840</xdr:colOff>
                    <xdr:row>93</xdr:row>
                    <xdr:rowOff>23400</xdr:rowOff>
                  </from>
                  <to>
                    <xdr:col>18</xdr:col>
                    <xdr:colOff>-703080</xdr:colOff>
                    <xdr:row>94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94" name="">
              <controlPr defaultSize="0" locked="1" autoFill="0" autoLine="0" autoPict="0" print="true" altText="Check Box 242">
                <anchor moveWithCells="true" sizeWithCells="false">
                  <from>
                    <xdr:col>17</xdr:col>
                    <xdr:colOff>15840</xdr:colOff>
                    <xdr:row>94</xdr:row>
                    <xdr:rowOff>23400</xdr:rowOff>
                  </from>
                  <to>
                    <xdr:col>18</xdr:col>
                    <xdr:colOff>-703080</xdr:colOff>
                    <xdr:row>95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95" name="">
              <controlPr defaultSize="0" locked="1" autoFill="0" autoLine="0" autoPict="0" print="true" altText="Check Box 243">
                <anchor moveWithCells="true" sizeWithCells="false">
                  <from>
                    <xdr:col>17</xdr:col>
                    <xdr:colOff>15840</xdr:colOff>
                    <xdr:row>95</xdr:row>
                    <xdr:rowOff>7560</xdr:rowOff>
                  </from>
                  <to>
                    <xdr:col>18</xdr:col>
                    <xdr:colOff>-703080</xdr:colOff>
                    <xdr:row>96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96" name="">
              <controlPr defaultSize="0" locked="1" autoFill="0" autoLine="0" autoPict="0" print="true" altText="Check Box 244">
                <anchor moveWithCells="true" sizeWithCells="false">
                  <from>
                    <xdr:col>17</xdr:col>
                    <xdr:colOff>15840</xdr:colOff>
                    <xdr:row>96</xdr:row>
                    <xdr:rowOff>7560</xdr:rowOff>
                  </from>
                  <to>
                    <xdr:col>18</xdr:col>
                    <xdr:colOff>-703080</xdr:colOff>
                    <xdr:row>97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97" name="">
              <controlPr defaultSize="0" locked="1" autoFill="0" autoLine="0" autoPict="0" print="true" altText="Check Box 245">
                <anchor moveWithCells="true" sizeWithCells="false">
                  <from>
                    <xdr:col>17</xdr:col>
                    <xdr:colOff>15840</xdr:colOff>
                    <xdr:row>97</xdr:row>
                    <xdr:rowOff>23400</xdr:rowOff>
                  </from>
                  <to>
                    <xdr:col>18</xdr:col>
                    <xdr:colOff>-703080</xdr:colOff>
                    <xdr:row>98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98" name="">
              <controlPr defaultSize="0" locked="1" autoFill="0" autoLine="0" autoPict="0" print="true" altText="Check Box 246">
                <anchor moveWithCells="true" sizeWithCells="false">
                  <from>
                    <xdr:col>17</xdr:col>
                    <xdr:colOff>15840</xdr:colOff>
                    <xdr:row>98</xdr:row>
                    <xdr:rowOff>23400</xdr:rowOff>
                  </from>
                  <to>
                    <xdr:col>18</xdr:col>
                    <xdr:colOff>-703080</xdr:colOff>
                    <xdr:row>99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99" name="">
              <controlPr defaultSize="0" locked="1" autoFill="0" autoLine="0" autoPict="0" print="true" altText="Check Box 247">
                <anchor moveWithCells="true" sizeWithCells="false">
                  <from>
                    <xdr:col>17</xdr:col>
                    <xdr:colOff>15840</xdr:colOff>
                    <xdr:row>99</xdr:row>
                    <xdr:rowOff>7920</xdr:rowOff>
                  </from>
                  <to>
                    <xdr:col>18</xdr:col>
                    <xdr:colOff>-703080</xdr:colOff>
                    <xdr:row>100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00" name="">
              <controlPr defaultSize="0" locked="1" autoFill="0" autoLine="0" autoPict="0" print="true" altText="Check Box 248">
                <anchor moveWithCells="true" sizeWithCells="false">
                  <from>
                    <xdr:col>17</xdr:col>
                    <xdr:colOff>15840</xdr:colOff>
                    <xdr:row>100</xdr:row>
                    <xdr:rowOff>7920</xdr:rowOff>
                  </from>
                  <to>
                    <xdr:col>18</xdr:col>
                    <xdr:colOff>-703080</xdr:colOff>
                    <xdr:row>101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01" name="">
              <controlPr defaultSize="0" locked="1" autoFill="0" autoLine="0" autoPict="0" print="true" altText="Check Box 249">
                <anchor moveWithCells="true" sizeWithCells="false">
                  <from>
                    <xdr:col>17</xdr:col>
                    <xdr:colOff>15840</xdr:colOff>
                    <xdr:row>101</xdr:row>
                    <xdr:rowOff>23400</xdr:rowOff>
                  </from>
                  <to>
                    <xdr:col>18</xdr:col>
                    <xdr:colOff>-703080</xdr:colOff>
                    <xdr:row>102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02" name="">
              <controlPr defaultSize="0" locked="1" autoFill="0" autoLine="0" autoPict="0" print="true" altText="Check Box 250">
                <anchor moveWithCells="true" sizeWithCells="false">
                  <from>
                    <xdr:col>17</xdr:col>
                    <xdr:colOff>15840</xdr:colOff>
                    <xdr:row>102</xdr:row>
                    <xdr:rowOff>23400</xdr:rowOff>
                  </from>
                  <to>
                    <xdr:col>18</xdr:col>
                    <xdr:colOff>-703080</xdr:colOff>
                    <xdr:row>103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03" name="">
              <controlPr defaultSize="0" locked="1" autoFill="0" autoLine="0" autoPict="0" print="true" altText="Check Box 251">
                <anchor moveWithCells="true" sizeWithCells="false">
                  <from>
                    <xdr:col>17</xdr:col>
                    <xdr:colOff>15840</xdr:colOff>
                    <xdr:row>103</xdr:row>
                    <xdr:rowOff>7920</xdr:rowOff>
                  </from>
                  <to>
                    <xdr:col>18</xdr:col>
                    <xdr:colOff>-703080</xdr:colOff>
                    <xdr:row>104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04" name="">
              <controlPr defaultSize="0" locked="1" autoFill="0" autoLine="0" autoPict="0" print="true" altText="Check Box 252">
                <anchor moveWithCells="true" sizeWithCells="false">
                  <from>
                    <xdr:col>17</xdr:col>
                    <xdr:colOff>15840</xdr:colOff>
                    <xdr:row>104</xdr:row>
                    <xdr:rowOff>7920</xdr:rowOff>
                  </from>
                  <to>
                    <xdr:col>18</xdr:col>
                    <xdr:colOff>-703080</xdr:colOff>
                    <xdr:row>105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05" name="">
              <controlPr defaultSize="0" locked="1" autoFill="0" autoLine="0" autoPict="0" print="true" altText="Check Box 253">
                <anchor moveWithCells="true" sizeWithCells="false">
                  <from>
                    <xdr:col>17</xdr:col>
                    <xdr:colOff>15840</xdr:colOff>
                    <xdr:row>105</xdr:row>
                    <xdr:rowOff>23400</xdr:rowOff>
                  </from>
                  <to>
                    <xdr:col>18</xdr:col>
                    <xdr:colOff>-703080</xdr:colOff>
                    <xdr:row>106</xdr:row>
                    <xdr:rowOff>23400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06" name="">
              <controlPr defaultSize="0" locked="1" autoFill="0" autoLine="0" autoPict="0" print="true" altText="Check Box 254">
                <anchor moveWithCells="true" sizeWithCells="false">
                  <from>
                    <xdr:col>17</xdr:col>
                    <xdr:colOff>15840</xdr:colOff>
                    <xdr:row>106</xdr:row>
                    <xdr:rowOff>23400</xdr:rowOff>
                  </from>
                  <to>
                    <xdr:col>18</xdr:col>
                    <xdr:colOff>-703080</xdr:colOff>
                    <xdr:row>107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07" name="">
              <controlPr defaultSize="0" locked="1" autoFill="0" autoLine="0" autoPict="0" print="true" altText="Check Box 255">
                <anchor moveWithCells="true" sizeWithCells="false">
                  <from>
                    <xdr:col>17</xdr:col>
                    <xdr:colOff>15840</xdr:colOff>
                    <xdr:row>107</xdr:row>
                    <xdr:rowOff>0</xdr:rowOff>
                  </from>
                  <to>
                    <xdr:col>18</xdr:col>
                    <xdr:colOff>-703080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08" name="">
              <controlPr defaultSize="0" locked="1" autoFill="0" autoLine="0" autoPict="0" print="true" altText="Check Box 256">
                <anchor moveWithCells="true" sizeWithCells="false">
                  <from>
                    <xdr:col>17</xdr:col>
                    <xdr:colOff>15840</xdr:colOff>
                    <xdr:row>107</xdr:row>
                    <xdr:rowOff>0</xdr:rowOff>
                  </from>
                  <to>
                    <xdr:col>18</xdr:col>
                    <xdr:colOff>-703080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09" name="">
              <controlPr defaultSize="0" locked="1" autoFill="0" autoLine="0" autoPict="0" print="true" altText="Check Box 257">
                <anchor moveWithCells="true" sizeWithCells="false">
                  <from>
                    <xdr:col>17</xdr:col>
                    <xdr:colOff>15840</xdr:colOff>
                    <xdr:row>107</xdr:row>
                    <xdr:rowOff>0</xdr:rowOff>
                  </from>
                  <to>
                    <xdr:col>18</xdr:col>
                    <xdr:colOff>-703080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10" name="">
              <controlPr defaultSize="0" locked="1" autoFill="0" autoLine="0" autoPict="0" print="true" altText="Check Box 258">
                <anchor moveWithCells="true" sizeWithCells="false">
                  <from>
                    <xdr:col>17</xdr:col>
                    <xdr:colOff>15840</xdr:colOff>
                    <xdr:row>107</xdr:row>
                    <xdr:rowOff>0</xdr:rowOff>
                  </from>
                  <to>
                    <xdr:col>18</xdr:col>
                    <xdr:colOff>-703080</xdr:colOff>
                    <xdr:row>108</xdr:row>
                    <xdr:rowOff>-7560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11" name="">
              <controlPr defaultSize="0" locked="1" autoFill="0" autoLine="0" autoPict="0" print="true" altText="Check Box 259">
                <anchor moveWithCells="true" sizeWithCells="false">
                  <from>
                    <xdr:col>17</xdr:col>
                    <xdr:colOff>15840</xdr:colOff>
                    <xdr:row>107</xdr:row>
                    <xdr:rowOff>0</xdr:rowOff>
                  </from>
                  <to>
                    <xdr:col>18</xdr:col>
                    <xdr:colOff>-703080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12" name="">
              <controlPr defaultSize="0" locked="1" autoFill="0" autoLine="0" autoPict="0" print="true" altText="Check Box 260">
                <anchor moveWithCells="true" sizeWithCells="false">
                  <from>
                    <xdr:col>17</xdr:col>
                    <xdr:colOff>15840</xdr:colOff>
                    <xdr:row>107</xdr:row>
                    <xdr:rowOff>0</xdr:rowOff>
                  </from>
                  <to>
                    <xdr:col>18</xdr:col>
                    <xdr:colOff>-703080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13" name="">
              <controlPr defaultSize="0" locked="1" autoFill="0" autoLine="0" autoPict="0" print="true" altText="Check Box 261">
                <anchor moveWithCells="true" sizeWithCells="false">
                  <from>
                    <xdr:col>17</xdr:col>
                    <xdr:colOff>15840</xdr:colOff>
                    <xdr:row>107</xdr:row>
                    <xdr:rowOff>0</xdr:rowOff>
                  </from>
                  <to>
                    <xdr:col>18</xdr:col>
                    <xdr:colOff>-703080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114" name="">
              <controlPr defaultSize="0" locked="1" autoFill="0" autoLine="0" autoPict="0" print="true" altText="Check Box 262">
                <anchor moveWithCells="true" sizeWithCells="false">
                  <from>
                    <xdr:col>17</xdr:col>
                    <xdr:colOff>15840</xdr:colOff>
                    <xdr:row>107</xdr:row>
                    <xdr:rowOff>23040</xdr:rowOff>
                  </from>
                  <to>
                    <xdr:col>18</xdr:col>
                    <xdr:colOff>-703080</xdr:colOff>
                    <xdr:row>108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115" name="ไม่ยินยอมบันทึกรายได้ผู้ผ่านการฝึก">
              <controlPr defaultSize="0" locked="1" autoFill="0" autoLine="0" autoPict="0" print="true" altText="Check Box 363">
                <anchor moveWithCells="true" sizeWithCells="false">
                  <from>
                    <xdr:col>13</xdr:col>
                    <xdr:colOff>148320</xdr:colOff>
                    <xdr:row>6</xdr:row>
                    <xdr:rowOff>328680</xdr:rowOff>
                  </from>
                  <to>
                    <xdr:col>14</xdr:col>
                    <xdr:colOff>-77040</xdr:colOff>
                    <xdr:row>7</xdr:row>
                    <xdr:rowOff>-89280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9921875" defaultRowHeight="14.4" customHeight="false" zeroHeight="false" outlineLevelRow="0" outlineLevelCol="0"/>
  <cols>
    <col collapsed="false" customWidth="true" hidden="false" outlineLevel="0" max="1" min="1" style="88" width="18.66"/>
    <col collapsed="false" customWidth="true" hidden="false" outlineLevel="0" max="2" min="2" style="0" width="10.32"/>
    <col collapsed="false" customWidth="true" hidden="false" outlineLevel="0" max="3" min="3" style="0" width="10.87"/>
    <col collapsed="false" customWidth="true" hidden="false" outlineLevel="0" max="4" min="4" style="0" width="9.99"/>
    <col collapsed="false" customWidth="true" hidden="false" outlineLevel="0" max="5" min="5" style="0" width="20.21"/>
    <col collapsed="false" customWidth="true" hidden="false" outlineLevel="0" max="6" min="6" style="0" width="28.1"/>
    <col collapsed="false" customWidth="true" hidden="false" outlineLevel="0" max="7" min="7" style="0" width="15.87"/>
    <col collapsed="false" customWidth="true" hidden="false" outlineLevel="0" max="8" min="8" style="0" width="11.66"/>
    <col collapsed="false" customWidth="true" hidden="false" outlineLevel="0" max="9" min="9" style="0" width="15.77"/>
    <col collapsed="false" customWidth="true" hidden="false" outlineLevel="0" max="10" min="10" style="0" width="12.21"/>
    <col collapsed="false" customWidth="true" hidden="false" outlineLevel="0" max="12" min="12" style="0" width="11.32"/>
    <col collapsed="false" customWidth="true" hidden="true" outlineLevel="0" max="13" min="13" style="0" width="2.21"/>
    <col collapsed="false" customWidth="true" hidden="false" outlineLevel="0" max="14" min="14" style="0" width="11.21"/>
    <col collapsed="false" customWidth="false" hidden="true" outlineLevel="0" max="15" min="15" style="0" width="8.99"/>
  </cols>
  <sheetData>
    <row r="1" customFormat="false" ht="69.75" hidden="false" customHeight="true" outlineLevel="0" collapsed="false">
      <c r="A1" s="89" t="s">
        <v>216</v>
      </c>
      <c r="B1" s="89" t="s">
        <v>217</v>
      </c>
      <c r="C1" s="89" t="s">
        <v>218</v>
      </c>
      <c r="D1" s="89" t="s">
        <v>219</v>
      </c>
      <c r="E1" s="90" t="s">
        <v>220</v>
      </c>
      <c r="F1" s="89" t="s">
        <v>221</v>
      </c>
      <c r="G1" s="90" t="s">
        <v>21</v>
      </c>
      <c r="H1" s="91" t="s">
        <v>222</v>
      </c>
      <c r="I1" s="91" t="s">
        <v>223</v>
      </c>
      <c r="J1" s="92" t="s">
        <v>224</v>
      </c>
      <c r="K1" s="92"/>
      <c r="L1" s="92"/>
      <c r="M1" s="92"/>
      <c r="N1" s="92"/>
      <c r="O1" s="92"/>
      <c r="P1" s="92"/>
      <c r="Q1" s="92"/>
    </row>
    <row r="2" customFormat="false" ht="27.75" hidden="false" customHeight="true" outlineLevel="0" collapsed="false">
      <c r="A2" s="93" t="n">
        <f aca="false">IF(ISBLANK(Summary!B8),"",Summary!B8)</f>
        <v>999999999</v>
      </c>
      <c r="B2" s="94" t="str">
        <f aca="false">IF(ISBLANK(Summary!B8),"",Summary!C8)</f>
        <v>นาย </v>
      </c>
      <c r="C2" s="95" t="str">
        <f aca="false">IF(ISBLANK(Summary!B8),"",Summary!D8)</f>
        <v>เสริฐสินธ์</v>
      </c>
      <c r="D2" s="95" t="str">
        <f aca="false">IF(ISBLANK(Summary!B8),"",Summary!E8)</f>
        <v>ธัญญรังสิกุล</v>
      </c>
      <c r="E2" s="96" t="str">
        <f aca="false">IF(ISBLANK(Summary!B8),"",IF(TRIM(SUBSTITUTE(B2," ",""))="นาย","ชาย",IF(TRIM(SUBSTITUTE(B2," ",""))="นาง","หญิง",IF(TRIM(SUBSTITUTE(B2," ",""))="นางสาว","หญิง",IF(TRIM(SUBSTITUTE(B2," ",""))="น.ส.","หญิง","ระบุคำนำหน้าใม่ถูก")))))</f>
        <v>ชาย</v>
      </c>
      <c r="F2" s="94" t="str">
        <f aca="false">IF(ISBLANK(Summary!B8),"",Summary!F8)</f>
        <v>หัวหน้างานขายสินค้าทางโทรศัพท์</v>
      </c>
      <c r="G2" s="96" t="str">
        <f aca="false">IF(ISBLANK(Summary!B8),"",IF(Summary!Q8="passed","ผ่าน",IF(Summary!Q8="fail","ไม่ผ่าน","")))</f>
        <v/>
      </c>
      <c r="H2" s="96" t="str">
        <f aca="false">IF(ISBLANK(Summary!B8),"",CONCATENATE(Summary!G8,Summary!H8,Summary!I8,Summary!J8,Summary!K8,N2))</f>
        <v>111101</v>
      </c>
      <c r="I2" s="97" t="str">
        <f aca="false">IF(ISBLANK(Summary!B8),"",IF(LEN(A2)=13,IF(RIGHT(11-MOD(MID(A2,1,1)*13+MID(A2,2,1)*12+MID(A2,3,1)*11+MID(A2,4,1)*10+MID(A2,5,1)*9+MID(A2,6,1)*8+MID(A2,7,1)*7+MID(A2,8,1)*6+MID(A2,9,1)*5+MID(A2,10,1)*4+MID(A2,11,1)*3+MID(A2,12,1)*2,11))=RIGHT(A2),"ถูกต้อง","ผิด "),"ไม่ครบ13หลัก"))</f>
        <v>ไม่ครบ13หลัก</v>
      </c>
      <c r="J2" s="98"/>
      <c r="K2" s="98"/>
      <c r="L2" s="99" t="str">
        <f aca="false">Summary!N8</f>
        <v>less than 10,000 (น้อยกว่า 10,000)</v>
      </c>
      <c r="N2" s="0" t="n">
        <f aca="false">IF(L2="less than 10,000 (น้อยกว่า 10,000)",1,IF(L2="10,001-20,000",2,IF(L2="20,001-30,000",3,IF(L2="30,001-40,000",4,IF(L2="40,001-50,000",5,IF(L2="more than 50,001 (มากกว่า 50,001)",6,7))))))</f>
        <v>1</v>
      </c>
    </row>
    <row r="3" customFormat="false" ht="31.5" hidden="false" customHeight="true" outlineLevel="0" collapsed="false">
      <c r="A3" s="93" t="n">
        <f aca="false">IF(ISBLANK(Summary!B9),"",Summary!B9)</f>
        <v>123232323233</v>
      </c>
      <c r="B3" s="94" t="str">
        <f aca="false">IF(ISBLANK(Summary!B9),"",Summary!C9)</f>
        <v>นาย </v>
      </c>
      <c r="C3" s="95" t="str">
        <f aca="false">IF(ISBLANK(Summary!B9),"",Summary!D9)</f>
        <v>โกสินทร์</v>
      </c>
      <c r="D3" s="95" t="str">
        <f aca="false">IF(ISBLANK(Summary!B9),"",Summary!E9)</f>
        <v>วุฒิเจริญวงศ์</v>
      </c>
      <c r="E3" s="96" t="str">
        <f aca="false">IF(ISBLANK(Summary!B9),"",IF(TRIM(SUBSTITUTE(B3," ",""))="นาย","ชาย",IF(TRIM(SUBSTITUTE(B3," ",""))="นาง","หญิง",IF(TRIM(SUBSTITUTE(B3," ",""))="นางสาว","หญิง",IF(TRIM(SUBSTITUTE(B3," ",""))="น.ส.","หญิง","ระบุคำนำหน้าใม่ถูก")))))</f>
        <v>ชาย</v>
      </c>
      <c r="F3" s="94" t="str">
        <f aca="false">IF(ISBLANK(Summary!B9),"",Summary!F9)</f>
        <v>กรรมการผู้จัดการ</v>
      </c>
      <c r="G3" s="96" t="str">
        <f aca="false">IF(ISBLANK(Summary!B9),"",IF(Summary!Q9="passed","ผ่าน",IF(Summary!Q9="fail","ไม่ผ่าน","")))</f>
        <v/>
      </c>
      <c r="H3" s="96" t="str">
        <f aca="false">IF(ISBLANK(Summary!B9),"",CONCATENATE(Summary!G9,Summary!H9,Summary!I9,Summary!J9,Summary!K9,N3))</f>
        <v>010101</v>
      </c>
      <c r="I3" s="97" t="str">
        <f aca="false">IF(ISBLANK(Summary!B9),"",IF(LEN(A3)=13,IF(RIGHT(11-MOD(MID(A3,1,1)*13+MID(A3,2,1)*12+MID(A3,3,1)*11+MID(A3,4,1)*10+MID(A3,5,1)*9+MID(A3,6,1)*8+MID(A3,7,1)*7+MID(A3,8,1)*6+MID(A3,9,1)*5+MID(A3,10,1)*4+MID(A3,11,1)*3+MID(A3,12,1)*2,11))=RIGHT(A3),"ถูกต้อง","ผิด "),"ไม่ครบ13หลัก"))</f>
        <v>ไม่ครบ13หลัก</v>
      </c>
      <c r="J3" s="100"/>
      <c r="K3" s="101"/>
      <c r="L3" s="99" t="str">
        <f aca="false">Summary!N9</f>
        <v>less than 10,000 (น้อยกว่า 10,000)</v>
      </c>
      <c r="M3" s="101"/>
      <c r="N3" s="0" t="n">
        <f aca="false">IF(L3="less than 10,000 (น้อยกว่า 10,000)",1,IF(L3="10,001-20,000",2,IF(L3="20,001-30,000",3,IF(L3="30,001-40,000",4,IF(L3="40,001-50,000",5,IF(L3="more than 50,001 (มากกว่า 50,001)",6,7))))))</f>
        <v>1</v>
      </c>
      <c r="O3" s="101"/>
      <c r="P3" s="101"/>
      <c r="Q3" s="101"/>
    </row>
    <row r="4" customFormat="false" ht="22.5" hidden="false" customHeight="true" outlineLevel="0" collapsed="false">
      <c r="A4" s="93" t="n">
        <f aca="false">IF(ISBLANK(Summary!B10),"",Summary!B10)</f>
        <v>6565656565656</v>
      </c>
      <c r="B4" s="94" t="str">
        <f aca="false">IF(ISBLANK(Summary!B10),"",Summary!C10)</f>
        <v>นางสาว</v>
      </c>
      <c r="C4" s="95" t="str">
        <f aca="false">IF(ISBLANK(Summary!B10),"",Summary!D10)</f>
        <v>กันยารัตน์</v>
      </c>
      <c r="D4" s="95" t="str">
        <f aca="false">IF(ISBLANK(Summary!B10),"",Summary!E10)</f>
        <v>ดีประเสริฐ</v>
      </c>
      <c r="E4" s="96" t="str">
        <f aca="false">IF(ISBLANK(Summary!B10),"",IF(TRIM(SUBSTITUTE(B4," ",""))="นาย","ชาย",IF(TRIM(SUBSTITUTE(B4," ",""))="นาง","หญิง",IF(TRIM(SUBSTITUTE(B4," ",""))="นางสาว","หญิง",IF(TRIM(SUBSTITUTE(B4," ",""))="น.ส.","หญิง","ระบุคำนำหน้าใม่ถูก")))))</f>
        <v>หญิง</v>
      </c>
      <c r="F4" s="94" t="str">
        <f aca="false">IF(ISBLANK(Summary!B10),"",Summary!F10)</f>
        <v>ผู้เชี่ยวชาญงานสนับสนุนธุรกิจและประสบการณ์ลูกค้า</v>
      </c>
      <c r="G4" s="96" t="str">
        <f aca="false">IF(ISBLANK(Summary!B10),"",IF(Summary!Q10="passed","ผ่าน",IF(Summary!Q10="fail","ไม่ผ่าน","")))</f>
        <v/>
      </c>
      <c r="H4" s="96" t="str">
        <f aca="false">IF(ISBLANK(Summary!B10),"",CONCATENATE(Summary!G10,Summary!H10,Summary!I10,Summary!J10,Summary!K10,N4))</f>
        <v>010101</v>
      </c>
      <c r="I4" s="97" t="str">
        <f aca="false">IF(ISBLANK(Summary!B10),"",IF(LEN(A4)=13,IF(RIGHT(11-MOD(MID(A4,1,1)*13+MID(A4,2,1)*12+MID(A4,3,1)*11+MID(A4,4,1)*10+MID(A4,5,1)*9+MID(A4,6,1)*8+MID(A4,7,1)*7+MID(A4,8,1)*6+MID(A4,9,1)*5+MID(A4,10,1)*4+MID(A4,11,1)*3+MID(A4,12,1)*2,11))=RIGHT(A4),"ถูกต้อง","ผิด "),"ไม่ครบ13หลัก"))</f>
        <v>ผิด </v>
      </c>
      <c r="J4" s="98"/>
      <c r="K4" s="98"/>
      <c r="L4" s="99" t="str">
        <f aca="false">Summary!N10</f>
        <v>less than 10,000 (น้อยกว่า 10,000)</v>
      </c>
      <c r="N4" s="0" t="n">
        <f aca="false">IF(L4="less than 10,000 (น้อยกว่า 10,000)",1,IF(L4="10,001-20,000",2,IF(L4="20,001-30,000",3,IF(L4="30,001-40,000",4,IF(L4="40,001-50,000",5,IF(L4="more than 50,001 (มากกว่า 50,001)",6,7))))))</f>
        <v>1</v>
      </c>
    </row>
    <row r="5" customFormat="false" ht="19.5" hidden="false" customHeight="true" outlineLevel="0" collapsed="false">
      <c r="A5" s="93" t="n">
        <f aca="false">IF(ISBLANK(Summary!B11),"",Summary!B11)</f>
        <v>777777777</v>
      </c>
      <c r="B5" s="94" t="str">
        <f aca="false">IF(ISBLANK(Summary!B11),"",Summary!C11)</f>
        <v>นาย </v>
      </c>
      <c r="C5" s="95" t="str">
        <f aca="false">IF(ISBLANK(Summary!B11),"",Summary!D11)</f>
        <v>จักรกฤษณ์</v>
      </c>
      <c r="D5" s="95" t="str">
        <f aca="false">IF(ISBLANK(Summary!B11),"",Summary!E11)</f>
        <v>กำบังกาย</v>
      </c>
      <c r="E5" s="96" t="str">
        <f aca="false">IF(ISBLANK(Summary!B11),"",IF(TRIM(SUBSTITUTE(B5," ",""))="นาย","ชาย",IF(TRIM(SUBSTITUTE(B5," ",""))="นาง","หญิง",IF(TRIM(SUBSTITUTE(B5," ",""))="นางสาว","หญิง",IF(TRIM(SUBSTITUTE(B5," ",""))="น.ส.","หญิง","ระบุคำนำหน้าใม่ถูก")))))</f>
        <v>ชาย</v>
      </c>
      <c r="F5" s="94" t="str">
        <f aca="false">IF(ISBLANK(Summary!B11),"",Summary!F11)</f>
        <v>หัวหน้าทีมวิเคราะห์ข้อมูลและเทคโนโลยีดิจิทัล</v>
      </c>
      <c r="G5" s="96" t="str">
        <f aca="false">IF(ISBLANK(Summary!B11),"",IF(Summary!Q11="passed","ผ่าน",IF(Summary!Q11="fail","ไม่ผ่าน","")))</f>
        <v/>
      </c>
      <c r="H5" s="96" t="str">
        <f aca="false">IF(ISBLANK(Summary!B11),"",CONCATENATE(Summary!G11,Summary!H11,Summary!I11,Summary!J11,Summary!K11,N5))</f>
        <v>112102</v>
      </c>
      <c r="I5" s="97" t="str">
        <f aca="false">IF(ISBLANK(Summary!B11),"",IF(LEN(A5)=13,IF(RIGHT(11-MOD(MID(A5,1,1)*13+MID(A5,2,1)*12+MID(A5,3,1)*11+MID(A5,4,1)*10+MID(A5,5,1)*9+MID(A5,6,1)*8+MID(A5,7,1)*7+MID(A5,8,1)*6+MID(A5,9,1)*5+MID(A5,10,1)*4+MID(A5,11,1)*3+MID(A5,12,1)*2,11))=RIGHT(A5),"ถูกต้อง","ผิด "),"ไม่ครบ13หลัก"))</f>
        <v>ไม่ครบ13หลัก</v>
      </c>
      <c r="J5" s="102"/>
      <c r="K5" s="102"/>
      <c r="L5" s="99" t="str">
        <f aca="false">Summary!N11</f>
        <v>10,001-20,000</v>
      </c>
      <c r="M5" s="88" t="s">
        <v>225</v>
      </c>
      <c r="N5" s="0" t="n">
        <f aca="false">IF(L5="less than 10,000 (น้อยกว่า 10,000)",1,IF(L5="10,001-20,000",2,IF(L5="20,001-30,000",3,IF(L5="30,001-40,000",4,IF(L5="40,001-50,000",5,IF(L5="more than 50,001 (มากกว่า 50,001)",6,7))))))</f>
        <v>2</v>
      </c>
      <c r="O5" s="88"/>
    </row>
    <row r="6" customFormat="false" ht="19.5" hidden="false" customHeight="true" outlineLevel="0" collapsed="false">
      <c r="A6" s="93" t="n">
        <f aca="false">IF(ISBLANK(Summary!B12),"",Summary!B12)</f>
        <v>88888888</v>
      </c>
      <c r="B6" s="94" t="str">
        <f aca="false">IF(ISBLANK(Summary!B12),"",Summary!C12)</f>
        <v>นาย </v>
      </c>
      <c r="C6" s="95" t="str">
        <f aca="false">IF(ISBLANK(Summary!B12),"",Summary!D12)</f>
        <v>ชัยเมศร์</v>
      </c>
      <c r="D6" s="95" t="str">
        <f aca="false">IF(ISBLANK(Summary!B12),"",Summary!E12)</f>
        <v>วรสมบูรณ์ไชย</v>
      </c>
      <c r="E6" s="96" t="str">
        <f aca="false">IF(ISBLANK(Summary!B12),"",IF(TRIM(SUBSTITUTE(B6," ",""))="นาย","ชาย",IF(TRIM(SUBSTITUTE(B6," ",""))="นาง","หญิง",IF(TRIM(SUBSTITUTE(B6," ",""))="นางสาว","หญิง",IF(TRIM(SUBSTITUTE(B6," ",""))="น.ส.","หญิง","ระบุคำนำหน้าใม่ถูก")))))</f>
        <v>ชาย</v>
      </c>
      <c r="F6" s="94" t="str">
        <f aca="false">IF(ISBLANK(Summary!B12),"",Summary!F12)</f>
        <v>หัวหน้างานขายสินค้าทางโทรศัพท์</v>
      </c>
      <c r="G6" s="96" t="str">
        <f aca="false">IF(ISBLANK(Summary!B12),"",IF(Summary!Q12="passed","ผ่าน",IF(Summary!Q12="fail","ไม่ผ่าน","")))</f>
        <v/>
      </c>
      <c r="H6" s="96" t="str">
        <f aca="false">IF(ISBLANK(Summary!B12),"",CONCATENATE(Summary!G12,Summary!H12,Summary!I12,Summary!J12,Summary!K12,N6))</f>
        <v>112104</v>
      </c>
      <c r="I6" s="97" t="str">
        <f aca="false">IF(ISBLANK(Summary!B12),"",IF(LEN(A6)=13,IF(RIGHT(11-MOD(MID(A6,1,1)*13+MID(A6,2,1)*12+MID(A6,3,1)*11+MID(A6,4,1)*10+MID(A6,5,1)*9+MID(A6,6,1)*8+MID(A6,7,1)*7+MID(A6,8,1)*6+MID(A6,9,1)*5+MID(A6,10,1)*4+MID(A6,11,1)*3+MID(A6,12,1)*2,11))=RIGHT(A6),"ถูกต้อง","ผิด "),"ไม่ครบ13หลัก"))</f>
        <v>ไม่ครบ13หลัก</v>
      </c>
      <c r="J6" s="102"/>
      <c r="K6" s="102"/>
      <c r="L6" s="99" t="str">
        <f aca="false">Summary!N12</f>
        <v>30,001-40,000</v>
      </c>
      <c r="M6" s="88" t="s">
        <v>226</v>
      </c>
      <c r="N6" s="0" t="n">
        <f aca="false">IF(L6="less than 10,000 (น้อยกว่า 10,000)",1,IF(L6="10,001-20,000",2,IF(L6="20,001-30,000",3,IF(L6="30,001-40,000",4,IF(L6="40,001-50,000",5,IF(L6="more than 50,001 (มากกว่า 50,001)",6,7))))))</f>
        <v>4</v>
      </c>
      <c r="O6" s="88"/>
    </row>
    <row r="7" customFormat="false" ht="19.5" hidden="false" customHeight="true" outlineLevel="0" collapsed="false">
      <c r="A7" s="93" t="n">
        <f aca="false">IF(ISBLANK(Summary!B13),"",Summary!B13)</f>
        <v>999999999</v>
      </c>
      <c r="B7" s="94" t="str">
        <f aca="false">IF(ISBLANK(Summary!B13),"",Summary!C13)</f>
        <v>นางสาว</v>
      </c>
      <c r="C7" s="95" t="str">
        <f aca="false">IF(ISBLANK(Summary!B13),"",Summary!D13)</f>
        <v>ฐายิกา</v>
      </c>
      <c r="D7" s="95" t="str">
        <f aca="false">IF(ISBLANK(Summary!B13),"",Summary!E13)</f>
        <v>ทัศนีย์</v>
      </c>
      <c r="E7" s="96" t="str">
        <f aca="false">IF(ISBLANK(Summary!B13),"",IF(TRIM(SUBSTITUTE(B7," ",""))="นาย","ชาย",IF(TRIM(SUBSTITUTE(B7," ",""))="นาง","หญิง",IF(TRIM(SUBSTITUTE(B7," ",""))="นางสาว","หญิง",IF(TRIM(SUBSTITUTE(B7," ",""))="น.ส.","หญิง","ระบุคำนำหน้าใม่ถูก")))))</f>
        <v>หญิง</v>
      </c>
      <c r="F7" s="94" t="str">
        <f aca="false">IF(ISBLANK(Summary!B13),"",Summary!F13)</f>
        <v>พนักงานบริการหลังการขาย</v>
      </c>
      <c r="G7" s="96" t="str">
        <f aca="false">IF(ISBLANK(Summary!B13),"",IF(Summary!Q13="passed","ผ่าน",IF(Summary!Q13="fail","ไม่ผ่าน","")))</f>
        <v/>
      </c>
      <c r="H7" s="96" t="str">
        <f aca="false">IF(ISBLANK(Summary!B13),"",CONCATENATE(Summary!G13,Summary!H13,Summary!I13,Summary!J13,Summary!K13,N7))</f>
        <v>111102</v>
      </c>
      <c r="I7" s="97" t="str">
        <f aca="false">IF(ISBLANK(Summary!B13),"",IF(LEN(A7)=13,IF(RIGHT(11-MOD(MID(A7,1,1)*13+MID(A7,2,1)*12+MID(A7,3,1)*11+MID(A7,4,1)*10+MID(A7,5,1)*9+MID(A7,6,1)*8+MID(A7,7,1)*7+MID(A7,8,1)*6+MID(A7,9,1)*5+MID(A7,10,1)*4+MID(A7,11,1)*3+MID(A7,12,1)*2,11))=RIGHT(A7),"ถูกต้อง","ผิด "),"ไม่ครบ13หลัก"))</f>
        <v>ไม่ครบ13หลัก</v>
      </c>
      <c r="J7" s="102"/>
      <c r="K7" s="102"/>
      <c r="L7" s="99" t="str">
        <f aca="false">Summary!N13</f>
        <v>10,001-20,000</v>
      </c>
      <c r="N7" s="0" t="n">
        <f aca="false">IF(L7="less than 10,000 (น้อยกว่า 10,000)",1,IF(L7="10,001-20,000",2,IF(L7="20,001-30,000",3,IF(L7="30,001-40,000",4,IF(L7="40,001-50,000",5,IF(L7="more than 50,001 (มากกว่า 50,001)",6,7))))))</f>
        <v>2</v>
      </c>
    </row>
    <row r="8" customFormat="false" ht="19.5" hidden="false" customHeight="true" outlineLevel="0" collapsed="false">
      <c r="A8" s="93" t="str">
        <f aca="false">IF(ISBLANK(Summary!B14),"",Summary!B14)</f>
        <v/>
      </c>
      <c r="B8" s="94" t="str">
        <f aca="false">IF(ISBLANK(Summary!B14),"",Summary!C14)</f>
        <v/>
      </c>
      <c r="C8" s="95" t="str">
        <f aca="false">IF(ISBLANK(Summary!B14),"",Summary!D14)</f>
        <v/>
      </c>
      <c r="D8" s="95" t="str">
        <f aca="false">IF(ISBLANK(Summary!B14),"",Summary!E14)</f>
        <v/>
      </c>
      <c r="E8" s="96" t="str">
        <f aca="false">IF(ISBLANK(Summary!B14),"",IF(TRIM(SUBSTITUTE(B8," ",""))="นาย","ชาย",IF(TRIM(SUBSTITUTE(B8," ",""))="นาง","หญิง",IF(TRIM(SUBSTITUTE(B8," ",""))="นางสาว","หญิง",IF(TRIM(SUBSTITUTE(B8," ",""))="น.ส.","หญิง","ระบุคำนำหน้าใม่ถูก")))))</f>
        <v/>
      </c>
      <c r="F8" s="94" t="str">
        <f aca="false">IF(ISBLANK(Summary!B14),"",Summary!F14)</f>
        <v/>
      </c>
      <c r="G8" s="96" t="str">
        <f aca="false">IF(ISBLANK(Summary!B14),"",IF(Summary!Q14="passed","ผ่าน",IF(Summary!Q14="fail","ไม่ผ่าน","")))</f>
        <v/>
      </c>
      <c r="H8" s="96" t="str">
        <f aca="false">IF(ISBLANK(Summary!B14),"",CONCATENATE(Summary!G14,Summary!H14,Summary!I14,Summary!J14,Summary!K14,N8))</f>
        <v/>
      </c>
      <c r="I8" s="97" t="str">
        <f aca="false">IF(ISBLANK(Summary!B14),"",IF(LEN(A8)=13,IF(RIGHT(11-MOD(MID(A8,1,1)*13+MID(A8,2,1)*12+MID(A8,3,1)*11+MID(A8,4,1)*10+MID(A8,5,1)*9+MID(A8,6,1)*8+MID(A8,7,1)*7+MID(A8,8,1)*6+MID(A8,9,1)*5+MID(A8,10,1)*4+MID(A8,11,1)*3+MID(A8,12,1)*2,11))=RIGHT(A8),"ถูกต้อง","ผิด "),"ไม่ครบ13หลัก"))</f>
        <v/>
      </c>
      <c r="J8" s="102"/>
      <c r="K8" s="102"/>
      <c r="L8" s="99" t="n">
        <f aca="false">Summary!N14</f>
        <v>0</v>
      </c>
      <c r="N8" s="0" t="n">
        <f aca="false">IF(L8="less than 10,000 (น้อยกว่า 10,000)",1,IF(L8="10,001-20,000",2,IF(L8="20,001-30,000",3,IF(L8="30,001-40,000",4,IF(L8="40,001-50,000",5,IF(L8="more than 50,001 (มากกว่า 50,001)",6,7))))))</f>
        <v>7</v>
      </c>
    </row>
    <row r="9" customFormat="false" ht="19.5" hidden="false" customHeight="true" outlineLevel="0" collapsed="false">
      <c r="A9" s="93" t="str">
        <f aca="false">IF(ISBLANK(Summary!B15),"",Summary!B15)</f>
        <v/>
      </c>
      <c r="B9" s="94" t="str">
        <f aca="false">IF(ISBLANK(Summary!B15),"",Summary!C15)</f>
        <v/>
      </c>
      <c r="C9" s="95" t="str">
        <f aca="false">IF(ISBLANK(Summary!B15),"",Summary!D15)</f>
        <v/>
      </c>
      <c r="D9" s="95" t="str">
        <f aca="false">IF(ISBLANK(Summary!B15),"",Summary!E15)</f>
        <v/>
      </c>
      <c r="E9" s="96" t="str">
        <f aca="false">IF(ISBLANK(Summary!B15),"",IF(TRIM(SUBSTITUTE(B9," ",""))="นาย","ชาย",IF(TRIM(SUBSTITUTE(B9," ",""))="นาง","หญิง",IF(TRIM(SUBSTITUTE(B9," ",""))="นางสาว","หญิง",IF(TRIM(SUBSTITUTE(B9," ",""))="น.ส.","หญิง","ระบุคำนำหน้าใม่ถูก")))))</f>
        <v/>
      </c>
      <c r="F9" s="94" t="str">
        <f aca="false">IF(ISBLANK(Summary!B15),"",Summary!F15)</f>
        <v/>
      </c>
      <c r="G9" s="96" t="str">
        <f aca="false">IF(ISBLANK(Summary!B15),"",IF(Summary!Q15="passed","ผ่าน",IF(Summary!Q15="fail","ไม่ผ่าน","")))</f>
        <v/>
      </c>
      <c r="H9" s="96" t="str">
        <f aca="false">IF(ISBLANK(Summary!B15),"",CONCATENATE(Summary!G15,Summary!H15,Summary!I15,Summary!J15,Summary!K15,N9))</f>
        <v/>
      </c>
      <c r="I9" s="97" t="str">
        <f aca="false">IF(ISBLANK(Summary!B15),"",IF(LEN(A9)=13,IF(RIGHT(11-MOD(MID(A9,1,1)*13+MID(A9,2,1)*12+MID(A9,3,1)*11+MID(A9,4,1)*10+MID(A9,5,1)*9+MID(A9,6,1)*8+MID(A9,7,1)*7+MID(A9,8,1)*6+MID(A9,9,1)*5+MID(A9,10,1)*4+MID(A9,11,1)*3+MID(A9,12,1)*2,11))=RIGHT(A9),"ถูกต้อง","ผิด "),"ไม่ครบ13หลัก"))</f>
        <v/>
      </c>
      <c r="J9" s="99" t="s">
        <v>227</v>
      </c>
      <c r="K9" s="99"/>
      <c r="L9" s="99" t="n">
        <f aca="false">Summary!N15</f>
        <v>0</v>
      </c>
      <c r="N9" s="0" t="n">
        <f aca="false">IF(L9="less than 10,000 (น้อยกว่า 10,000)",1,IF(L9="10,001-20,000",2,IF(L9="20,001-30,000",3,IF(L9="30,001-40,000",4,IF(L9="40,001-50,000",5,IF(L9="more than 50,001 (มากกว่า 50,001)",6,7))))))</f>
        <v>7</v>
      </c>
    </row>
    <row r="10" customFormat="false" ht="19.5" hidden="false" customHeight="true" outlineLevel="0" collapsed="false">
      <c r="A10" s="93" t="str">
        <f aca="false">IF(ISBLANK(Summary!B16),"",Summary!B16)</f>
        <v/>
      </c>
      <c r="B10" s="94" t="str">
        <f aca="false">IF(ISBLANK(Summary!B16),"",Summary!C16)</f>
        <v/>
      </c>
      <c r="C10" s="95" t="str">
        <f aca="false">IF(ISBLANK(Summary!B16),"",Summary!D16)</f>
        <v/>
      </c>
      <c r="D10" s="95" t="str">
        <f aca="false">IF(ISBLANK(Summary!B16),"",Summary!E16)</f>
        <v/>
      </c>
      <c r="E10" s="96" t="str">
        <f aca="false">IF(ISBLANK(Summary!B16),"",IF(TRIM(SUBSTITUTE(B10," ",""))="นาย","ชาย",IF(TRIM(SUBSTITUTE(B10," ",""))="นาง","หญิง",IF(TRIM(SUBSTITUTE(B10," ",""))="นางสาว","หญิง",IF(TRIM(SUBSTITUTE(B10," ",""))="น.ส.","หญิง","ระบุคำนำหน้าใม่ถูก")))))</f>
        <v/>
      </c>
      <c r="F10" s="94" t="str">
        <f aca="false">IF(ISBLANK(Summary!B16),"",Summary!F16)</f>
        <v/>
      </c>
      <c r="G10" s="96" t="str">
        <f aca="false">IF(ISBLANK(Summary!B16),"",IF(Summary!Q16="passed","ผ่าน",IF(Summary!Q16="fail","ไม่ผ่าน","")))</f>
        <v/>
      </c>
      <c r="H10" s="96" t="str">
        <f aca="false">IF(ISBLANK(Summary!B16),"",CONCATENATE(Summary!G16,Summary!H16,Summary!I16,Summary!J16,Summary!K16,N10))</f>
        <v/>
      </c>
      <c r="I10" s="97" t="str">
        <f aca="false">IF(ISBLANK(Summary!B16),"",IF(LEN(A10)=13,IF(RIGHT(11-MOD(MID(A10,1,1)*13+MID(A10,2,1)*12+MID(A10,3,1)*11+MID(A10,4,1)*10+MID(A10,5,1)*9+MID(A10,6,1)*8+MID(A10,7,1)*7+MID(A10,8,1)*6+MID(A10,9,1)*5+MID(A10,10,1)*4+MID(A10,11,1)*3+MID(A10,12,1)*2,11))=RIGHT(A10),"ถูกต้อง","ผิด "),"ไม่ครบ13หลัก"))</f>
        <v/>
      </c>
      <c r="J10" s="103" t="n">
        <f aca="false">COUNTIF(E2:E101,"ชาย")</f>
        <v>4</v>
      </c>
      <c r="K10" s="103"/>
      <c r="L10" s="99" t="n">
        <f aca="false">Summary!N16</f>
        <v>0</v>
      </c>
      <c r="N10" s="0" t="n">
        <f aca="false">IF(L10="less than 10,000 (น้อยกว่า 10,000)",1,IF(L10="10,001-20,000",2,IF(L10="20,001-30,000",3,IF(L10="30,001-40,000",4,IF(L10="40,001-50,000",5,IF(L10="more than 50,001 (มากกว่า 50,001)",6,7))))))</f>
        <v>7</v>
      </c>
    </row>
    <row r="11" customFormat="false" ht="19.5" hidden="false" customHeight="true" outlineLevel="0" collapsed="false">
      <c r="A11" s="93" t="str">
        <f aca="false">IF(ISBLANK(Summary!B17),"",Summary!B17)</f>
        <v/>
      </c>
      <c r="B11" s="94" t="str">
        <f aca="false">IF(ISBLANK(Summary!B17),"",Summary!C17)</f>
        <v/>
      </c>
      <c r="C11" s="95" t="str">
        <f aca="false">IF(ISBLANK(Summary!B17),"",Summary!D17)</f>
        <v/>
      </c>
      <c r="D11" s="95" t="str">
        <f aca="false">IF(ISBLANK(Summary!B17),"",Summary!E17)</f>
        <v/>
      </c>
      <c r="E11" s="96" t="str">
        <f aca="false">IF(ISBLANK(Summary!B17),"",IF(TRIM(SUBSTITUTE(B11," ",""))="นาย","ชาย",IF(TRIM(SUBSTITUTE(B11," ",""))="นาง","หญิง",IF(TRIM(SUBSTITUTE(B11," ",""))="นางสาว","หญิง",IF(TRIM(SUBSTITUTE(B11," ",""))="น.ส.","หญิง","ระบุคำนำหน้าใม่ถูก")))))</f>
        <v/>
      </c>
      <c r="F11" s="94" t="str">
        <f aca="false">IF(ISBLANK(Summary!B17),"",Summary!F17)</f>
        <v/>
      </c>
      <c r="G11" s="96" t="str">
        <f aca="false">IF(ISBLANK(Summary!B17),"",IF(Summary!Q17="passed","ผ่าน",IF(Summary!Q17="fail","ไม่ผ่าน","")))</f>
        <v/>
      </c>
      <c r="H11" s="96" t="str">
        <f aca="false">IF(ISBLANK(Summary!B17),"",CONCATENATE(Summary!G17,Summary!H17,Summary!I17,Summary!J17,Summary!K17,N11))</f>
        <v/>
      </c>
      <c r="I11" s="97" t="str">
        <f aca="false">IF(ISBLANK(Summary!B17),"",IF(LEN(A11)=13,IF(RIGHT(11-MOD(MID(A11,1,1)*13+MID(A11,2,1)*12+MID(A11,3,1)*11+MID(A11,4,1)*10+MID(A11,5,1)*9+MID(A11,6,1)*8+MID(A11,7,1)*7+MID(A11,8,1)*6+MID(A11,9,1)*5+MID(A11,10,1)*4+MID(A11,11,1)*3+MID(A11,12,1)*2,11))=RIGHT(A11),"ถูกต้อง","ผิด "),"ไม่ครบ13หลัก"))</f>
        <v/>
      </c>
      <c r="J11" s="99" t="s">
        <v>228</v>
      </c>
      <c r="K11" s="99"/>
      <c r="L11" s="99" t="n">
        <f aca="false">Summary!N17</f>
        <v>0</v>
      </c>
      <c r="N11" s="0" t="n">
        <f aca="false">IF(L11="less than 10,000 (น้อยกว่า 10,000)",1,IF(L11="10,001-20,000",2,IF(L11="20,001-30,000",3,IF(L11="30,001-40,000",4,IF(L11="40,001-50,000",5,IF(L11="more than 50,001 (มากกว่า 50,001)",6,7))))))</f>
        <v>7</v>
      </c>
    </row>
    <row r="12" customFormat="false" ht="19.5" hidden="false" customHeight="true" outlineLevel="0" collapsed="false">
      <c r="A12" s="93" t="str">
        <f aca="false">IF(ISBLANK(Summary!B18),"",Summary!B18)</f>
        <v/>
      </c>
      <c r="B12" s="94" t="str">
        <f aca="false">IF(ISBLANK(Summary!B18),"",Summary!C18)</f>
        <v/>
      </c>
      <c r="C12" s="95" t="str">
        <f aca="false">IF(ISBLANK(Summary!B18),"",Summary!D18)</f>
        <v/>
      </c>
      <c r="D12" s="95" t="str">
        <f aca="false">IF(ISBLANK(Summary!B18),"",Summary!E18)</f>
        <v/>
      </c>
      <c r="E12" s="96" t="str">
        <f aca="false">IF(ISBLANK(Summary!B18),"",IF(TRIM(SUBSTITUTE(B12," ",""))="นาย","ชาย",IF(TRIM(SUBSTITUTE(B12," ",""))="นาง","หญิง",IF(TRIM(SUBSTITUTE(B12," ",""))="นางสาว","หญิง",IF(TRIM(SUBSTITUTE(B12," ",""))="น.ส.","หญิง","ระบุคำนำหน้าใม่ถูก")))))</f>
        <v/>
      </c>
      <c r="F12" s="94" t="str">
        <f aca="false">IF(ISBLANK(Summary!B18),"",Summary!F18)</f>
        <v/>
      </c>
      <c r="G12" s="96" t="str">
        <f aca="false">IF(ISBLANK(Summary!B18),"",IF(Summary!Q18="passed","ผ่าน",IF(Summary!Q18="fail","ไม่ผ่าน","")))</f>
        <v/>
      </c>
      <c r="H12" s="96" t="str">
        <f aca="false">IF(ISBLANK(Summary!B18),"",CONCATENATE(Summary!G18,Summary!H18,Summary!I18,Summary!J18,Summary!K18,N12))</f>
        <v/>
      </c>
      <c r="I12" s="97" t="str">
        <f aca="false">IF(ISBLANK(Summary!B18),"",IF(LEN(A12)=13,IF(RIGHT(11-MOD(MID(A12,1,1)*13+MID(A12,2,1)*12+MID(A12,3,1)*11+MID(A12,4,1)*10+MID(A12,5,1)*9+MID(A12,6,1)*8+MID(A12,7,1)*7+MID(A12,8,1)*6+MID(A12,9,1)*5+MID(A12,10,1)*4+MID(A12,11,1)*3+MID(A12,12,1)*2,11))=RIGHT(A12),"ถูกต้อง","ผิด "),"ไม่ครบ13หลัก"))</f>
        <v/>
      </c>
      <c r="J12" s="104" t="n">
        <f aca="false">COUNTIF(E2:E101,"หญิง")</f>
        <v>2</v>
      </c>
      <c r="K12" s="104"/>
      <c r="L12" s="99" t="n">
        <f aca="false">Summary!N18</f>
        <v>0</v>
      </c>
      <c r="N12" s="0" t="n">
        <f aca="false">IF(L12="less than 10,000 (น้อยกว่า 10,000)",1,IF(L12="10,001-20,000",2,IF(L12="20,001-30,000",3,IF(L12="30,001-40,000",4,IF(L12="40,001-50,000",5,IF(L12="more than 50,001 (มากกว่า 50,001)",6,7))))))</f>
        <v>7</v>
      </c>
    </row>
    <row r="13" customFormat="false" ht="19.5" hidden="false" customHeight="true" outlineLevel="0" collapsed="false">
      <c r="A13" s="93" t="str">
        <f aca="false">IF(ISBLANK(Summary!B19),"",Summary!B19)</f>
        <v/>
      </c>
      <c r="B13" s="94" t="str">
        <f aca="false">IF(ISBLANK(Summary!B19),"",Summary!C19)</f>
        <v/>
      </c>
      <c r="C13" s="95" t="str">
        <f aca="false">IF(ISBLANK(Summary!B19),"",Summary!D19)</f>
        <v/>
      </c>
      <c r="D13" s="95" t="str">
        <f aca="false">IF(ISBLANK(Summary!B19),"",Summary!E19)</f>
        <v/>
      </c>
      <c r="E13" s="96" t="str">
        <f aca="false">IF(ISBLANK(Summary!B19),"",IF(TRIM(SUBSTITUTE(B13," ",""))="นาย","ชาย",IF(TRIM(SUBSTITUTE(B13," ",""))="นาง","หญิง",IF(TRIM(SUBSTITUTE(B13," ",""))="นางสาว","หญิง",IF(TRIM(SUBSTITUTE(B13," ",""))="น.ส.","หญิง","ระบุคำนำหน้าใม่ถูก")))))</f>
        <v/>
      </c>
      <c r="F13" s="94" t="str">
        <f aca="false">IF(ISBLANK(Summary!B19),"",Summary!F19)</f>
        <v/>
      </c>
      <c r="G13" s="96" t="str">
        <f aca="false">IF(ISBLANK(Summary!B19),"",IF(Summary!Q19="passed","ผ่าน",IF(Summary!Q19="fail","ไม่ผ่าน","")))</f>
        <v/>
      </c>
      <c r="H13" s="96" t="str">
        <f aca="false">IF(ISBLANK(Summary!B19),"",CONCATENATE(Summary!G19,Summary!H19,Summary!I19,Summary!J19,Summary!K19,N13))</f>
        <v/>
      </c>
      <c r="I13" s="97" t="str">
        <f aca="false">IF(ISBLANK(Summary!B19),"",IF(LEN(A13)=13,IF(RIGHT(11-MOD(MID(A13,1,1)*13+MID(A13,2,1)*12+MID(A13,3,1)*11+MID(A13,4,1)*10+MID(A13,5,1)*9+MID(A13,6,1)*8+MID(A13,7,1)*7+MID(A13,8,1)*6+MID(A13,9,1)*5+MID(A13,10,1)*4+MID(A13,11,1)*3+MID(A13,12,1)*2,11))=RIGHT(A13),"ถูกต้อง","ผิด "),"ไม่ครบ13หลัก"))</f>
        <v/>
      </c>
      <c r="J13" s="99" t="s">
        <v>229</v>
      </c>
      <c r="K13" s="99"/>
      <c r="L13" s="99" t="n">
        <f aca="false">Summary!N19</f>
        <v>0</v>
      </c>
      <c r="N13" s="0" t="n">
        <f aca="false">IF(L13="less than 10,000 (น้อยกว่า 10,000)",1,IF(L13="10,001-20,000",2,IF(L13="20,001-30,000",3,IF(L13="30,001-40,000",4,IF(L13="40,001-50,000",5,IF(L13="more than 50,001 (มากกว่า 50,001)",6,7))))))</f>
        <v>7</v>
      </c>
    </row>
    <row r="14" customFormat="false" ht="19.5" hidden="false" customHeight="true" outlineLevel="0" collapsed="false">
      <c r="A14" s="93" t="str">
        <f aca="false">IF(ISBLANK(Summary!B20),"",Summary!B20)</f>
        <v/>
      </c>
      <c r="B14" s="94" t="str">
        <f aca="false">IF(ISBLANK(Summary!B20),"",Summary!C20)</f>
        <v/>
      </c>
      <c r="C14" s="95" t="str">
        <f aca="false">IF(ISBLANK(Summary!B20),"",Summary!D20)</f>
        <v/>
      </c>
      <c r="D14" s="95" t="str">
        <f aca="false">IF(ISBLANK(Summary!B20),"",Summary!E20)</f>
        <v/>
      </c>
      <c r="E14" s="96" t="str">
        <f aca="false">IF(ISBLANK(Summary!B20),"",IF(TRIM(SUBSTITUTE(B14," ",""))="นาย","ชาย",IF(TRIM(SUBSTITUTE(B14," ",""))="นาง","หญิง",IF(TRIM(SUBSTITUTE(B14," ",""))="นางสาว","หญิง",IF(TRIM(SUBSTITUTE(B14," ",""))="น.ส.","หญิง","ระบุคำนำหน้าใม่ถูก")))))</f>
        <v/>
      </c>
      <c r="F14" s="94" t="str">
        <f aca="false">IF(ISBLANK(Summary!B20),"",Summary!F20)</f>
        <v/>
      </c>
      <c r="G14" s="96" t="str">
        <f aca="false">IF(ISBLANK(Summary!B20),"",IF(Summary!Q20="passed","ผ่าน",IF(Summary!Q20="fail","ไม่ผ่าน","")))</f>
        <v/>
      </c>
      <c r="H14" s="96" t="str">
        <f aca="false">IF(ISBLANK(Summary!B20),"",CONCATENATE(Summary!G20,Summary!H20,Summary!I20,Summary!J20,Summary!K20,N14))</f>
        <v/>
      </c>
      <c r="I14" s="97" t="str">
        <f aca="false">IF(ISBLANK(Summary!B20),"",IF(LEN(A14)=13,IF(RIGHT(11-MOD(MID(A14,1,1)*13+MID(A14,2,1)*12+MID(A14,3,1)*11+MID(A14,4,1)*10+MID(A14,5,1)*9+MID(A14,6,1)*8+MID(A14,7,1)*7+MID(A14,8,1)*6+MID(A14,9,1)*5+MID(A14,10,1)*4+MID(A14,11,1)*3+MID(A14,12,1)*2,11))=RIGHT(A14),"ถูกต้อง","ผิด "),"ไม่ครบ13หลัก"))</f>
        <v/>
      </c>
      <c r="J14" s="105" t="n">
        <f aca="false">J10+J12</f>
        <v>6</v>
      </c>
      <c r="K14" s="105"/>
      <c r="L14" s="99" t="n">
        <f aca="false">Summary!N20</f>
        <v>0</v>
      </c>
      <c r="N14" s="0" t="n">
        <f aca="false">IF(L14="less than 10,000 (น้อยกว่า 10,000)",1,IF(L14="10,001-20,000",2,IF(L14="20,001-30,000",3,IF(L14="30,001-40,000",4,IF(L14="40,001-50,000",5,IF(L14="more than 50,001 (มากกว่า 50,001)",6,7))))))</f>
        <v>7</v>
      </c>
    </row>
    <row r="15" customFormat="false" ht="19.5" hidden="false" customHeight="true" outlineLevel="0" collapsed="false">
      <c r="A15" s="93" t="str">
        <f aca="false">IF(ISBLANK(Summary!B21),"",Summary!B21)</f>
        <v/>
      </c>
      <c r="B15" s="94" t="str">
        <f aca="false">IF(ISBLANK(Summary!B21),"",Summary!C21)</f>
        <v/>
      </c>
      <c r="C15" s="95" t="str">
        <f aca="false">IF(ISBLANK(Summary!B21),"",Summary!D21)</f>
        <v/>
      </c>
      <c r="D15" s="95" t="str">
        <f aca="false">IF(ISBLANK(Summary!B21),"",Summary!E21)</f>
        <v/>
      </c>
      <c r="E15" s="96" t="str">
        <f aca="false">IF(ISBLANK(Summary!B21),"",IF(TRIM(SUBSTITUTE(B15," ",""))="นาย","ชาย",IF(TRIM(SUBSTITUTE(B15," ",""))="นาง","หญิง",IF(TRIM(SUBSTITUTE(B15," ",""))="นางสาว","หญิง",IF(TRIM(SUBSTITUTE(B15," ",""))="น.ส.","หญิง","ระบุคำนำหน้าใม่ถูก")))))</f>
        <v/>
      </c>
      <c r="F15" s="94" t="str">
        <f aca="false">IF(ISBLANK(Summary!B21),"",Summary!F21)</f>
        <v/>
      </c>
      <c r="G15" s="96" t="str">
        <f aca="false">IF(ISBLANK(Summary!B21),"",IF(Summary!Q21="passed","ผ่าน",IF(Summary!Q21="fail","ไม่ผ่าน","")))</f>
        <v/>
      </c>
      <c r="H15" s="96" t="str">
        <f aca="false">IF(ISBLANK(Summary!B21),"",CONCATENATE(Summary!G21,Summary!H21,Summary!I21,Summary!J21,Summary!K21,N15))</f>
        <v/>
      </c>
      <c r="I15" s="97" t="str">
        <f aca="false">IF(ISBLANK(Summary!B21),"",IF(LEN(A15)=13,IF(RIGHT(11-MOD(MID(A15,1,1)*13+MID(A15,2,1)*12+MID(A15,3,1)*11+MID(A15,4,1)*10+MID(A15,5,1)*9+MID(A15,6,1)*8+MID(A15,7,1)*7+MID(A15,8,1)*6+MID(A15,9,1)*5+MID(A15,10,1)*4+MID(A15,11,1)*3+MID(A15,12,1)*2,11))=RIGHT(A15),"ถูกต้อง","ผิด "),"ไม่ครบ13หลัก"))</f>
        <v/>
      </c>
      <c r="J15" s="102"/>
      <c r="K15" s="102"/>
      <c r="L15" s="99" t="n">
        <f aca="false">Summary!N21</f>
        <v>0</v>
      </c>
      <c r="N15" s="0" t="n">
        <f aca="false">IF(L15="less than 10,000 (น้อยกว่า 10,000)",1,IF(L15="10,001-20,000",2,IF(L15="20,001-30,000",3,IF(L15="30,001-40,000",4,IF(L15="40,001-50,000",5,IF(L15="more than 50,001 (มากกว่า 50,001)",6,7))))))</f>
        <v>7</v>
      </c>
    </row>
    <row r="16" customFormat="false" ht="19.5" hidden="false" customHeight="true" outlineLevel="0" collapsed="false">
      <c r="A16" s="93" t="str">
        <f aca="false">IF(ISBLANK(Summary!B22),"",Summary!B22)</f>
        <v/>
      </c>
      <c r="B16" s="94" t="str">
        <f aca="false">IF(ISBLANK(Summary!B22),"",Summary!C22)</f>
        <v/>
      </c>
      <c r="C16" s="95" t="str">
        <f aca="false">IF(ISBLANK(Summary!B22),"",Summary!D22)</f>
        <v/>
      </c>
      <c r="D16" s="95" t="str">
        <f aca="false">IF(ISBLANK(Summary!B22),"",Summary!E22)</f>
        <v/>
      </c>
      <c r="E16" s="96" t="str">
        <f aca="false">IF(ISBLANK(Summary!B22),"",IF(TRIM(SUBSTITUTE(B16," ",""))="นาย","ชาย",IF(TRIM(SUBSTITUTE(B16," ",""))="นาง","หญิง",IF(TRIM(SUBSTITUTE(B16," ",""))="นางสาว","หญิง",IF(TRIM(SUBSTITUTE(B16," ",""))="น.ส.","หญิง","ระบุคำนำหน้าใม่ถูก")))))</f>
        <v/>
      </c>
      <c r="F16" s="94" t="str">
        <f aca="false">IF(ISBLANK(Summary!B22),"",Summary!F22)</f>
        <v/>
      </c>
      <c r="G16" s="96" t="str">
        <f aca="false">IF(ISBLANK(Summary!B22),"",IF(Summary!Q22="passed","ผ่าน",IF(Summary!Q22="fail","ไม่ผ่าน","")))</f>
        <v/>
      </c>
      <c r="H16" s="96" t="str">
        <f aca="false">IF(ISBLANK(Summary!B22),"",CONCATENATE(Summary!G22,Summary!H22,Summary!I22,Summary!J22,Summary!K22,N16))</f>
        <v/>
      </c>
      <c r="I16" s="97" t="str">
        <f aca="false">IF(ISBLANK(Summary!B22),"",IF(LEN(A16)=13,IF(RIGHT(11-MOD(MID(A16,1,1)*13+MID(A16,2,1)*12+MID(A16,3,1)*11+MID(A16,4,1)*10+MID(A16,5,1)*9+MID(A16,6,1)*8+MID(A16,7,1)*7+MID(A16,8,1)*6+MID(A16,9,1)*5+MID(A16,10,1)*4+MID(A16,11,1)*3+MID(A16,12,1)*2,11))=RIGHT(A16),"ถูกต้อง","ผิด "),"ไม่ครบ13หลัก"))</f>
        <v/>
      </c>
      <c r="J16" s="102"/>
      <c r="K16" s="102"/>
      <c r="L16" s="99" t="n">
        <f aca="false">Summary!N22</f>
        <v>0</v>
      </c>
      <c r="N16" s="0" t="n">
        <f aca="false">IF(L16="less than 10,000 (น้อยกว่า 10,000)",1,IF(L16="10,001-20,000",2,IF(L16="20,001-30,000",3,IF(L16="30,001-40,000",4,IF(L16="40,001-50,000",5,IF(L16="more than 50,001 (มากกว่า 50,001)",6,7))))))</f>
        <v>7</v>
      </c>
    </row>
    <row r="17" customFormat="false" ht="19.5" hidden="false" customHeight="true" outlineLevel="0" collapsed="false">
      <c r="A17" s="93" t="str">
        <f aca="false">IF(ISBLANK(Summary!B23),"",Summary!B23)</f>
        <v/>
      </c>
      <c r="B17" s="94" t="str">
        <f aca="false">IF(ISBLANK(Summary!B23),"",Summary!C23)</f>
        <v/>
      </c>
      <c r="C17" s="95" t="str">
        <f aca="false">IF(ISBLANK(Summary!B23),"",Summary!D23)</f>
        <v/>
      </c>
      <c r="D17" s="95" t="str">
        <f aca="false">IF(ISBLANK(Summary!B23),"",Summary!E23)</f>
        <v/>
      </c>
      <c r="E17" s="96" t="str">
        <f aca="false">IF(ISBLANK(Summary!B23),"",IF(TRIM(SUBSTITUTE(B17," ",""))="นาย","ชาย",IF(TRIM(SUBSTITUTE(B17," ",""))="นาง","หญิง",IF(TRIM(SUBSTITUTE(B17," ",""))="นางสาว","หญิง",IF(TRIM(SUBSTITUTE(B17," ",""))="น.ส.","หญิง","ระบุคำนำหน้าใม่ถูก")))))</f>
        <v/>
      </c>
      <c r="F17" s="94" t="str">
        <f aca="false">IF(ISBLANK(Summary!B23),"",Summary!F23)</f>
        <v/>
      </c>
      <c r="G17" s="96" t="str">
        <f aca="false">IF(ISBLANK(Summary!B23),"",IF(Summary!Q23="passed","ผ่าน",IF(Summary!Q23="fail","ไม่ผ่าน","")))</f>
        <v/>
      </c>
      <c r="H17" s="96" t="str">
        <f aca="false">IF(ISBLANK(Summary!B23),"",CONCATENATE(Summary!G23,Summary!H23,Summary!I23,Summary!J23,Summary!K23,N17))</f>
        <v/>
      </c>
      <c r="I17" s="97" t="str">
        <f aca="false">IF(ISBLANK(Summary!B23),"",IF(LEN(A17)=13,IF(RIGHT(11-MOD(MID(A17,1,1)*13+MID(A17,2,1)*12+MID(A17,3,1)*11+MID(A17,4,1)*10+MID(A17,5,1)*9+MID(A17,6,1)*8+MID(A17,7,1)*7+MID(A17,8,1)*6+MID(A17,9,1)*5+MID(A17,10,1)*4+MID(A17,11,1)*3+MID(A17,12,1)*2,11))=RIGHT(A17),"ถูกต้อง","ผิด "),"ไม่ครบ13หลัก"))</f>
        <v/>
      </c>
      <c r="J17" s="102"/>
      <c r="K17" s="102"/>
      <c r="L17" s="99" t="n">
        <f aca="false">Summary!N23</f>
        <v>0</v>
      </c>
      <c r="N17" s="0" t="n">
        <f aca="false">IF(L17="less than 10,000 (น้อยกว่า 10,000)",1,IF(L17="10,001-20,000",2,IF(L17="20,001-30,000",3,IF(L17="30,001-40,000",4,IF(L17="40,001-50,000",5,IF(L17="more than 50,001 (มากกว่า 50,001)",6,7))))))</f>
        <v>7</v>
      </c>
    </row>
    <row r="18" customFormat="false" ht="19.5" hidden="false" customHeight="true" outlineLevel="0" collapsed="false">
      <c r="A18" s="93" t="str">
        <f aca="false">IF(ISBLANK(Summary!B24),"",Summary!B24)</f>
        <v/>
      </c>
      <c r="B18" s="94" t="str">
        <f aca="false">IF(ISBLANK(Summary!B24),"",Summary!C24)</f>
        <v/>
      </c>
      <c r="C18" s="95" t="str">
        <f aca="false">IF(ISBLANK(Summary!B24),"",Summary!D24)</f>
        <v/>
      </c>
      <c r="D18" s="95" t="str">
        <f aca="false">IF(ISBLANK(Summary!B24),"",Summary!E24)</f>
        <v/>
      </c>
      <c r="E18" s="96" t="str">
        <f aca="false">IF(ISBLANK(Summary!B24),"",IF(TRIM(SUBSTITUTE(B18," ",""))="นาย","ชาย",IF(TRIM(SUBSTITUTE(B18," ",""))="นาง","หญิง",IF(TRIM(SUBSTITUTE(B18," ",""))="นางสาว","หญิง",IF(TRIM(SUBSTITUTE(B18," ",""))="น.ส.","หญิง","ระบุคำนำหน้าใม่ถูก")))))</f>
        <v/>
      </c>
      <c r="F18" s="94" t="str">
        <f aca="false">IF(ISBLANK(Summary!B24),"",Summary!F24)</f>
        <v/>
      </c>
      <c r="G18" s="96" t="str">
        <f aca="false">IF(ISBLANK(Summary!B24),"",IF(Summary!Q24="passed","ผ่าน",IF(Summary!Q24="fail","ไม่ผ่าน","")))</f>
        <v/>
      </c>
      <c r="H18" s="96" t="str">
        <f aca="false">IF(ISBLANK(Summary!B24),"",CONCATENATE(Summary!G24,Summary!H24,Summary!I24,Summary!J24,Summary!K24,N18))</f>
        <v/>
      </c>
      <c r="I18" s="97" t="str">
        <f aca="false">IF(ISBLANK(Summary!B24),"",IF(LEN(A18)=13,IF(RIGHT(11-MOD(MID(A18,1,1)*13+MID(A18,2,1)*12+MID(A18,3,1)*11+MID(A18,4,1)*10+MID(A18,5,1)*9+MID(A18,6,1)*8+MID(A18,7,1)*7+MID(A18,8,1)*6+MID(A18,9,1)*5+MID(A18,10,1)*4+MID(A18,11,1)*3+MID(A18,12,1)*2,11))=RIGHT(A18),"ถูกต้อง","ผิด "),"ไม่ครบ13หลัก"))</f>
        <v/>
      </c>
      <c r="J18" s="102"/>
      <c r="K18" s="102"/>
      <c r="L18" s="99" t="n">
        <f aca="false">Summary!N24</f>
        <v>0</v>
      </c>
      <c r="N18" s="0" t="n">
        <f aca="false">IF(L18="less than 10,000 (น้อยกว่า 10,000)",1,IF(L18="10,001-20,000",2,IF(L18="20,001-30,000",3,IF(L18="30,001-40,000",4,IF(L18="40,001-50,000",5,IF(L18="more than 50,001 (มากกว่า 50,001)",6,7))))))</f>
        <v>7</v>
      </c>
    </row>
    <row r="19" customFormat="false" ht="19.5" hidden="false" customHeight="true" outlineLevel="0" collapsed="false">
      <c r="A19" s="93" t="str">
        <f aca="false">IF(ISBLANK(Summary!B25),"",Summary!B25)</f>
        <v/>
      </c>
      <c r="B19" s="94" t="str">
        <f aca="false">IF(ISBLANK(Summary!B25),"",Summary!C25)</f>
        <v/>
      </c>
      <c r="C19" s="95" t="str">
        <f aca="false">IF(ISBLANK(Summary!B25),"",Summary!D25)</f>
        <v/>
      </c>
      <c r="D19" s="95" t="str">
        <f aca="false">IF(ISBLANK(Summary!B25),"",Summary!E25)</f>
        <v/>
      </c>
      <c r="E19" s="96" t="str">
        <f aca="false">IF(ISBLANK(Summary!B25),"",IF(TRIM(SUBSTITUTE(B19," ",""))="นาย","ชาย",IF(TRIM(SUBSTITUTE(B19," ",""))="นาง","หญิง",IF(TRIM(SUBSTITUTE(B19," ",""))="นางสาว","หญิง",IF(TRIM(SUBSTITUTE(B19," ",""))="น.ส.","หญิง","ระบุคำนำหน้าใม่ถูก")))))</f>
        <v/>
      </c>
      <c r="F19" s="94" t="str">
        <f aca="false">IF(ISBLANK(Summary!B25),"",Summary!F25)</f>
        <v/>
      </c>
      <c r="G19" s="96" t="str">
        <f aca="false">IF(ISBLANK(Summary!B25),"",IF(Summary!Q25="passed","ผ่าน",IF(Summary!Q25="fail","ไม่ผ่าน","")))</f>
        <v/>
      </c>
      <c r="H19" s="96" t="str">
        <f aca="false">IF(ISBLANK(Summary!B25),"",CONCATENATE(Summary!G25,Summary!H25,Summary!I25,Summary!J25,Summary!K25,N19))</f>
        <v/>
      </c>
      <c r="I19" s="97" t="str">
        <f aca="false">IF(ISBLANK(Summary!B25),"",IF(LEN(A19)=13,IF(RIGHT(11-MOD(MID(A19,1,1)*13+MID(A19,2,1)*12+MID(A19,3,1)*11+MID(A19,4,1)*10+MID(A19,5,1)*9+MID(A19,6,1)*8+MID(A19,7,1)*7+MID(A19,8,1)*6+MID(A19,9,1)*5+MID(A19,10,1)*4+MID(A19,11,1)*3+MID(A19,12,1)*2,11))=RIGHT(A19),"ถูกต้อง","ผิด "),"ไม่ครบ13หลัก"))</f>
        <v/>
      </c>
      <c r="J19" s="102"/>
      <c r="K19" s="102"/>
      <c r="L19" s="99" t="n">
        <f aca="false">Summary!N25</f>
        <v>0</v>
      </c>
      <c r="N19" s="0" t="n">
        <f aca="false">IF(L19="less than 10,000 (น้อยกว่า 10,000)",1,IF(L19="10,001-20,000",2,IF(L19="20,001-30,000",3,IF(L19="30,001-40,000",4,IF(L19="40,001-50,000",5,IF(L19="more than 50,001 (มากกว่า 50,001)",6,7))))))</f>
        <v>7</v>
      </c>
    </row>
    <row r="20" customFormat="false" ht="19.5" hidden="false" customHeight="true" outlineLevel="0" collapsed="false">
      <c r="A20" s="93" t="str">
        <f aca="false">IF(ISBLANK(Summary!B26),"",Summary!B26)</f>
        <v/>
      </c>
      <c r="B20" s="94" t="str">
        <f aca="false">IF(ISBLANK(Summary!B26),"",Summary!C26)</f>
        <v/>
      </c>
      <c r="C20" s="95" t="str">
        <f aca="false">IF(ISBLANK(Summary!B26),"",Summary!D26)</f>
        <v/>
      </c>
      <c r="D20" s="95" t="str">
        <f aca="false">IF(ISBLANK(Summary!B26),"",Summary!E26)</f>
        <v/>
      </c>
      <c r="E20" s="96" t="str">
        <f aca="false">IF(ISBLANK(Summary!B26),"",IF(TRIM(SUBSTITUTE(B20," ",""))="นาย","ชาย",IF(TRIM(SUBSTITUTE(B20," ",""))="นาง","หญิง",IF(TRIM(SUBSTITUTE(B20," ",""))="นางสาว","หญิง",IF(TRIM(SUBSTITUTE(B20," ",""))="น.ส.","หญิง","ระบุคำนำหน้าใม่ถูก")))))</f>
        <v/>
      </c>
      <c r="F20" s="94" t="str">
        <f aca="false">IF(ISBLANK(Summary!B26),"",Summary!F26)</f>
        <v/>
      </c>
      <c r="G20" s="96" t="str">
        <f aca="false">IF(ISBLANK(Summary!B26),"",IF(Summary!Q26="passed","ผ่าน",IF(Summary!Q26="fail","ไม่ผ่าน","")))</f>
        <v/>
      </c>
      <c r="H20" s="96" t="str">
        <f aca="false">IF(ISBLANK(Summary!B26),"",CONCATENATE(Summary!G26,Summary!H26,Summary!I26,Summary!J26,Summary!K26,N20))</f>
        <v/>
      </c>
      <c r="I20" s="97" t="str">
        <f aca="false">IF(ISBLANK(Summary!B26),"",IF(LEN(A20)=13,IF(RIGHT(11-MOD(MID(A20,1,1)*13+MID(A20,2,1)*12+MID(A20,3,1)*11+MID(A20,4,1)*10+MID(A20,5,1)*9+MID(A20,6,1)*8+MID(A20,7,1)*7+MID(A20,8,1)*6+MID(A20,9,1)*5+MID(A20,10,1)*4+MID(A20,11,1)*3+MID(A20,12,1)*2,11))=RIGHT(A20),"ถูกต้อง","ผิด "),"ไม่ครบ13หลัก"))</f>
        <v/>
      </c>
      <c r="J20" s="102"/>
      <c r="K20" s="102"/>
      <c r="L20" s="99" t="n">
        <f aca="false">Summary!N26</f>
        <v>0</v>
      </c>
      <c r="N20" s="0" t="n">
        <f aca="false">IF(L20="less than 10,000 (น้อยกว่า 10,000)",1,IF(L20="10,001-20,000",2,IF(L20="20,001-30,000",3,IF(L20="30,001-40,000",4,IF(L20="40,001-50,000",5,IF(L20="more than 50,001 (มากกว่า 50,001)",6,7))))))</f>
        <v>7</v>
      </c>
    </row>
    <row r="21" customFormat="false" ht="19.5" hidden="false" customHeight="true" outlineLevel="0" collapsed="false">
      <c r="A21" s="93" t="str">
        <f aca="false">IF(ISBLANK(Summary!B27),"",Summary!B27)</f>
        <v/>
      </c>
      <c r="B21" s="94" t="str">
        <f aca="false">IF(ISBLANK(Summary!B27),"",Summary!C27)</f>
        <v/>
      </c>
      <c r="C21" s="95" t="str">
        <f aca="false">IF(ISBLANK(Summary!B27),"",Summary!D27)</f>
        <v/>
      </c>
      <c r="D21" s="95" t="str">
        <f aca="false">IF(ISBLANK(Summary!B27),"",Summary!E27)</f>
        <v/>
      </c>
      <c r="E21" s="96" t="str">
        <f aca="false">IF(ISBLANK(Summary!B27),"",IF(TRIM(SUBSTITUTE(B21," ",""))="นาย","ชาย",IF(TRIM(SUBSTITUTE(B21," ",""))="นาง","หญิง",IF(TRIM(SUBSTITUTE(B21," ",""))="นางสาว","หญิง",IF(TRIM(SUBSTITUTE(B21," ",""))="น.ส.","หญิง","ระบุคำนำหน้าใม่ถูก")))))</f>
        <v/>
      </c>
      <c r="F21" s="94" t="str">
        <f aca="false">IF(ISBLANK(Summary!B27),"",Summary!F27)</f>
        <v/>
      </c>
      <c r="G21" s="96" t="str">
        <f aca="false">IF(ISBLANK(Summary!B27),"",IF(Summary!Q27="passed","ผ่าน",IF(Summary!Q27="fail","ไม่ผ่าน","")))</f>
        <v/>
      </c>
      <c r="H21" s="96" t="str">
        <f aca="false">IF(ISBLANK(Summary!B27),"",CONCATENATE(Summary!G27,Summary!H27,Summary!I27,Summary!J27,Summary!K27,N21))</f>
        <v/>
      </c>
      <c r="I21" s="97" t="str">
        <f aca="false">IF(ISBLANK(Summary!B27),"",IF(LEN(A21)=13,IF(RIGHT(11-MOD(MID(A21,1,1)*13+MID(A21,2,1)*12+MID(A21,3,1)*11+MID(A21,4,1)*10+MID(A21,5,1)*9+MID(A21,6,1)*8+MID(A21,7,1)*7+MID(A21,8,1)*6+MID(A21,9,1)*5+MID(A21,10,1)*4+MID(A21,11,1)*3+MID(A21,12,1)*2,11))=RIGHT(A21),"ถูกต้อง","ผิด "),"ไม่ครบ13หลัก"))</f>
        <v/>
      </c>
      <c r="J21" s="102"/>
      <c r="K21" s="102"/>
      <c r="L21" s="99" t="n">
        <f aca="false">Summary!N27</f>
        <v>0</v>
      </c>
      <c r="N21" s="0" t="n">
        <f aca="false">IF(L21="less than 10,000 (น้อยกว่า 10,000)",1,IF(L21="10,001-20,000",2,IF(L21="20,001-30,000",3,IF(L21="30,001-40,000",4,IF(L21="40,001-50,000",5,IF(L21="more than 50,001 (มากกว่า 50,001)",6,7))))))</f>
        <v>7</v>
      </c>
    </row>
    <row r="22" customFormat="false" ht="19.5" hidden="false" customHeight="true" outlineLevel="0" collapsed="false">
      <c r="A22" s="93" t="str">
        <f aca="false">IF(ISBLANK(Summary!B28),"",Summary!B28)</f>
        <v/>
      </c>
      <c r="B22" s="94" t="str">
        <f aca="false">IF(ISBLANK(Summary!B28),"",Summary!C28)</f>
        <v/>
      </c>
      <c r="C22" s="95" t="str">
        <f aca="false">IF(ISBLANK(Summary!B28),"",Summary!D28)</f>
        <v/>
      </c>
      <c r="D22" s="95" t="str">
        <f aca="false">IF(ISBLANK(Summary!B28),"",Summary!E28)</f>
        <v/>
      </c>
      <c r="E22" s="96" t="str">
        <f aca="false">IF(ISBLANK(Summary!B28),"",IF(TRIM(SUBSTITUTE(B22," ",""))="นาย","ชาย",IF(TRIM(SUBSTITUTE(B22," ",""))="นาง","หญิง",IF(TRIM(SUBSTITUTE(B22," ",""))="นางสาว","หญิง",IF(TRIM(SUBSTITUTE(B22," ",""))="น.ส.","หญิง","ระบุคำนำหน้าใม่ถูก")))))</f>
        <v/>
      </c>
      <c r="F22" s="94" t="str">
        <f aca="false">IF(ISBLANK(Summary!B28),"",Summary!F28)</f>
        <v/>
      </c>
      <c r="G22" s="96" t="str">
        <f aca="false">IF(ISBLANK(Summary!B28),"",IF(Summary!Q28="passed","ผ่าน",IF(Summary!Q28="fail","ไม่ผ่าน","")))</f>
        <v/>
      </c>
      <c r="H22" s="96" t="str">
        <f aca="false">IF(ISBLANK(Summary!B28),"",CONCATENATE(Summary!G28,Summary!H28,Summary!I28,Summary!J28,Summary!K28,N22))</f>
        <v/>
      </c>
      <c r="I22" s="97" t="str">
        <f aca="false">IF(ISBLANK(Summary!B28),"",IF(LEN(A22)=13,IF(RIGHT(11-MOD(MID(A22,1,1)*13+MID(A22,2,1)*12+MID(A22,3,1)*11+MID(A22,4,1)*10+MID(A22,5,1)*9+MID(A22,6,1)*8+MID(A22,7,1)*7+MID(A22,8,1)*6+MID(A22,9,1)*5+MID(A22,10,1)*4+MID(A22,11,1)*3+MID(A22,12,1)*2,11))=RIGHT(A22),"ถูกต้อง","ผิด "),"ไม่ครบ13หลัก"))</f>
        <v/>
      </c>
      <c r="J22" s="102"/>
      <c r="K22" s="102"/>
      <c r="L22" s="99" t="n">
        <f aca="false">Summary!N28</f>
        <v>0</v>
      </c>
      <c r="N22" s="0" t="n">
        <f aca="false">IF(L22="less than 10,000 (น้อยกว่า 10,000)",1,IF(L22="10,001-20,000",2,IF(L22="20,001-30,000",3,IF(L22="30,001-40,000",4,IF(L22="40,001-50,000",5,IF(L22="more than 50,001 (มากกว่า 50,001)",6,7))))))</f>
        <v>7</v>
      </c>
    </row>
    <row r="23" customFormat="false" ht="19.5" hidden="false" customHeight="true" outlineLevel="0" collapsed="false">
      <c r="A23" s="93" t="str">
        <f aca="false">IF(ISBLANK(Summary!B29),"",Summary!B29)</f>
        <v/>
      </c>
      <c r="B23" s="94" t="str">
        <f aca="false">IF(ISBLANK(Summary!B29),"",Summary!C29)</f>
        <v/>
      </c>
      <c r="C23" s="95" t="str">
        <f aca="false">IF(ISBLANK(Summary!B29),"",Summary!D29)</f>
        <v/>
      </c>
      <c r="D23" s="95" t="str">
        <f aca="false">IF(ISBLANK(Summary!B29),"",Summary!E29)</f>
        <v/>
      </c>
      <c r="E23" s="96" t="str">
        <f aca="false">IF(ISBLANK(Summary!B29),"",IF(TRIM(SUBSTITUTE(B23," ",""))="นาย","ชาย",IF(TRIM(SUBSTITUTE(B23," ",""))="นาง","หญิง",IF(TRIM(SUBSTITUTE(B23," ",""))="นางสาว","หญิง",IF(TRIM(SUBSTITUTE(B23," ",""))="น.ส.","หญิง","ระบุคำนำหน้าใม่ถูก")))))</f>
        <v/>
      </c>
      <c r="F23" s="94" t="str">
        <f aca="false">IF(ISBLANK(Summary!B29),"",Summary!F29)</f>
        <v/>
      </c>
      <c r="G23" s="96" t="str">
        <f aca="false">IF(ISBLANK(Summary!B29),"",IF(Summary!Q29="passed","ผ่าน",IF(Summary!Q29="fail","ไม่ผ่าน","")))</f>
        <v/>
      </c>
      <c r="H23" s="96" t="str">
        <f aca="false">IF(ISBLANK(Summary!B29),"",CONCATENATE(Summary!G29,Summary!H29,Summary!I29,Summary!J29,Summary!K29,N23))</f>
        <v/>
      </c>
      <c r="I23" s="97" t="str">
        <f aca="false">IF(ISBLANK(Summary!B29),"",IF(LEN(A23)=13,IF(RIGHT(11-MOD(MID(A23,1,1)*13+MID(A23,2,1)*12+MID(A23,3,1)*11+MID(A23,4,1)*10+MID(A23,5,1)*9+MID(A23,6,1)*8+MID(A23,7,1)*7+MID(A23,8,1)*6+MID(A23,9,1)*5+MID(A23,10,1)*4+MID(A23,11,1)*3+MID(A23,12,1)*2,11))=RIGHT(A23),"ถูกต้อง","ผิด "),"ไม่ครบ13หลัก"))</f>
        <v/>
      </c>
      <c r="J23" s="102"/>
      <c r="K23" s="102"/>
      <c r="L23" s="99" t="n">
        <f aca="false">Summary!N29</f>
        <v>0</v>
      </c>
      <c r="N23" s="0" t="n">
        <f aca="false">IF(L23="less than 10,000 (น้อยกว่า 10,000)",1,IF(L23="10,001-20,000",2,IF(L23="20,001-30,000",3,IF(L23="30,001-40,000",4,IF(L23="40,001-50,000",5,IF(L23="more than 50,001 (มากกว่า 50,001)",6,7))))))</f>
        <v>7</v>
      </c>
    </row>
    <row r="24" customFormat="false" ht="19.5" hidden="false" customHeight="true" outlineLevel="0" collapsed="false">
      <c r="A24" s="93" t="str">
        <f aca="false">IF(ISBLANK(Summary!B30),"",Summary!B30)</f>
        <v/>
      </c>
      <c r="B24" s="94" t="str">
        <f aca="false">IF(ISBLANK(Summary!B30),"",Summary!C30)</f>
        <v/>
      </c>
      <c r="C24" s="95" t="str">
        <f aca="false">IF(ISBLANK(Summary!B30),"",Summary!D30)</f>
        <v/>
      </c>
      <c r="D24" s="95" t="str">
        <f aca="false">IF(ISBLANK(Summary!B30),"",Summary!E30)</f>
        <v/>
      </c>
      <c r="E24" s="96" t="str">
        <f aca="false">IF(ISBLANK(Summary!B30),"",IF(TRIM(SUBSTITUTE(B24," ",""))="นาย","ชาย",IF(TRIM(SUBSTITUTE(B24," ",""))="นาง","หญิง",IF(TRIM(SUBSTITUTE(B24," ",""))="นางสาว","หญิง",IF(TRIM(SUBSTITUTE(B24," ",""))="น.ส.","หญิง","ระบุคำนำหน้าใม่ถูก")))))</f>
        <v/>
      </c>
      <c r="F24" s="94" t="str">
        <f aca="false">IF(ISBLANK(Summary!B30),"",Summary!F30)</f>
        <v/>
      </c>
      <c r="G24" s="96" t="str">
        <f aca="false">IF(ISBLANK(Summary!B30),"",IF(Summary!Q30="passed","ผ่าน",IF(Summary!Q30="fail","ไม่ผ่าน","")))</f>
        <v/>
      </c>
      <c r="H24" s="96" t="str">
        <f aca="false">IF(ISBLANK(Summary!B30),"",CONCATENATE(Summary!G30,Summary!H30,Summary!I30,Summary!J30,Summary!K30,N24))</f>
        <v/>
      </c>
      <c r="I24" s="97" t="str">
        <f aca="false">IF(ISBLANK(Summary!B30),"",IF(LEN(A24)=13,IF(RIGHT(11-MOD(MID(A24,1,1)*13+MID(A24,2,1)*12+MID(A24,3,1)*11+MID(A24,4,1)*10+MID(A24,5,1)*9+MID(A24,6,1)*8+MID(A24,7,1)*7+MID(A24,8,1)*6+MID(A24,9,1)*5+MID(A24,10,1)*4+MID(A24,11,1)*3+MID(A24,12,1)*2,11))=RIGHT(A24),"ถูกต้อง","ผิด "),"ไม่ครบ13หลัก"))</f>
        <v/>
      </c>
      <c r="J24" s="102"/>
      <c r="K24" s="102"/>
      <c r="L24" s="99" t="n">
        <f aca="false">Summary!N30</f>
        <v>0</v>
      </c>
      <c r="N24" s="0" t="n">
        <f aca="false">IF(L24="less than 10,000 (น้อยกว่า 10,000)",1,IF(L24="10,001-20,000",2,IF(L24="20,001-30,000",3,IF(L24="30,001-40,000",4,IF(L24="40,001-50,000",5,IF(L24="more than 50,001 (มากกว่า 50,001)",6,7))))))</f>
        <v>7</v>
      </c>
    </row>
    <row r="25" customFormat="false" ht="19.5" hidden="false" customHeight="true" outlineLevel="0" collapsed="false">
      <c r="A25" s="93" t="str">
        <f aca="false">IF(ISBLANK(Summary!B31),"",Summary!B31)</f>
        <v/>
      </c>
      <c r="B25" s="94" t="str">
        <f aca="false">IF(ISBLANK(Summary!B31),"",Summary!C31)</f>
        <v/>
      </c>
      <c r="C25" s="95" t="str">
        <f aca="false">IF(ISBLANK(Summary!B31),"",Summary!D31)</f>
        <v/>
      </c>
      <c r="D25" s="95" t="str">
        <f aca="false">IF(ISBLANK(Summary!B31),"",Summary!E31)</f>
        <v/>
      </c>
      <c r="E25" s="96" t="str">
        <f aca="false">IF(ISBLANK(Summary!B31),"",IF(TRIM(SUBSTITUTE(B25," ",""))="นาย","ชาย",IF(TRIM(SUBSTITUTE(B25," ",""))="นาง","หญิง",IF(TRIM(SUBSTITUTE(B25," ",""))="นางสาว","หญิง",IF(TRIM(SUBSTITUTE(B25," ",""))="น.ส.","หญิง","ระบุคำนำหน้าใม่ถูก")))))</f>
        <v/>
      </c>
      <c r="F25" s="94" t="str">
        <f aca="false">IF(ISBLANK(Summary!B31),"",Summary!F31)</f>
        <v/>
      </c>
      <c r="G25" s="96" t="str">
        <f aca="false">IF(ISBLANK(Summary!B31),"",IF(Summary!Q31="passed","ผ่าน",IF(Summary!Q31="fail","ไม่ผ่าน","")))</f>
        <v/>
      </c>
      <c r="H25" s="96" t="str">
        <f aca="false">IF(ISBLANK(Summary!B31),"",CONCATENATE(Summary!G31,Summary!H31,Summary!I31,Summary!J31,Summary!K31,N25))</f>
        <v/>
      </c>
      <c r="I25" s="97" t="str">
        <f aca="false">IF(ISBLANK(Summary!B31),"",IF(LEN(A25)=13,IF(RIGHT(11-MOD(MID(A25,1,1)*13+MID(A25,2,1)*12+MID(A25,3,1)*11+MID(A25,4,1)*10+MID(A25,5,1)*9+MID(A25,6,1)*8+MID(A25,7,1)*7+MID(A25,8,1)*6+MID(A25,9,1)*5+MID(A25,10,1)*4+MID(A25,11,1)*3+MID(A25,12,1)*2,11))=RIGHT(A25),"ถูกต้อง","ผิด "),"ไม่ครบ13หลัก"))</f>
        <v/>
      </c>
      <c r="J25" s="102"/>
      <c r="K25" s="102"/>
      <c r="L25" s="99" t="n">
        <f aca="false">Summary!N31</f>
        <v>0</v>
      </c>
      <c r="N25" s="0" t="n">
        <f aca="false">IF(L25="less than 10,000 (น้อยกว่า 10,000)",1,IF(L25="10,001-20,000",2,IF(L25="20,001-30,000",3,IF(L25="30,001-40,000",4,IF(L25="40,001-50,000",5,IF(L25="more than 50,001 (มากกว่า 50,001)",6,7))))))</f>
        <v>7</v>
      </c>
    </row>
    <row r="26" customFormat="false" ht="19.5" hidden="false" customHeight="true" outlineLevel="0" collapsed="false">
      <c r="A26" s="93" t="str">
        <f aca="false">IF(ISBLANK(Summary!B32),"",Summary!B32)</f>
        <v/>
      </c>
      <c r="B26" s="94" t="str">
        <f aca="false">IF(ISBLANK(Summary!B32),"",Summary!C32)</f>
        <v/>
      </c>
      <c r="C26" s="95" t="str">
        <f aca="false">IF(ISBLANK(Summary!B32),"",Summary!D32)</f>
        <v/>
      </c>
      <c r="D26" s="95" t="str">
        <f aca="false">IF(ISBLANK(Summary!B32),"",Summary!E32)</f>
        <v/>
      </c>
      <c r="E26" s="96" t="str">
        <f aca="false">IF(ISBLANK(Summary!B32),"",IF(TRIM(SUBSTITUTE(B26," ",""))="นาย","ชาย",IF(TRIM(SUBSTITUTE(B26," ",""))="นาง","หญิง",IF(TRIM(SUBSTITUTE(B26," ",""))="นางสาว","หญิง",IF(TRIM(SUBSTITUTE(B26," ",""))="น.ส.","หญิง","ระบุคำนำหน้าใม่ถูก")))))</f>
        <v/>
      </c>
      <c r="F26" s="94" t="str">
        <f aca="false">IF(ISBLANK(Summary!B32),"",Summary!F32)</f>
        <v/>
      </c>
      <c r="G26" s="96" t="str">
        <f aca="false">IF(ISBLANK(Summary!B32),"",IF(Summary!Q32="passed","ผ่าน",IF(Summary!Q32="fail","ไม่ผ่าน","")))</f>
        <v/>
      </c>
      <c r="H26" s="96" t="str">
        <f aca="false">IF(ISBLANK(Summary!B32),"",CONCATENATE(Summary!G32,Summary!H32,Summary!I32,Summary!J32,Summary!K32,N26))</f>
        <v/>
      </c>
      <c r="I26" s="97" t="str">
        <f aca="false">IF(ISBLANK(Summary!B32),"",IF(LEN(A26)=13,IF(RIGHT(11-MOD(MID(A26,1,1)*13+MID(A26,2,1)*12+MID(A26,3,1)*11+MID(A26,4,1)*10+MID(A26,5,1)*9+MID(A26,6,1)*8+MID(A26,7,1)*7+MID(A26,8,1)*6+MID(A26,9,1)*5+MID(A26,10,1)*4+MID(A26,11,1)*3+MID(A26,12,1)*2,11))=RIGHT(A26),"ถูกต้อง","ผิด "),"ไม่ครบ13หลัก"))</f>
        <v/>
      </c>
      <c r="J26" s="102"/>
      <c r="K26" s="102"/>
      <c r="L26" s="99" t="n">
        <f aca="false">Summary!N32</f>
        <v>0</v>
      </c>
      <c r="N26" s="0" t="n">
        <f aca="false">IF(L26="less than 10,000 (น้อยกว่า 10,000)",1,IF(L26="10,001-20,000",2,IF(L26="20,001-30,000",3,IF(L26="30,001-40,000",4,IF(L26="40,001-50,000",5,IF(L26="more than 50,001 (มากกว่า 50,001)",6,7))))))</f>
        <v>7</v>
      </c>
    </row>
    <row r="27" customFormat="false" ht="19.5" hidden="false" customHeight="true" outlineLevel="0" collapsed="false">
      <c r="A27" s="93" t="str">
        <f aca="false">IF(ISBLANK(Summary!B33),"",Summary!B33)</f>
        <v/>
      </c>
      <c r="B27" s="94" t="str">
        <f aca="false">IF(ISBLANK(Summary!B33),"",Summary!C33)</f>
        <v/>
      </c>
      <c r="C27" s="95" t="str">
        <f aca="false">IF(ISBLANK(Summary!B33),"",Summary!D33)</f>
        <v/>
      </c>
      <c r="D27" s="95" t="str">
        <f aca="false">IF(ISBLANK(Summary!B33),"",Summary!E33)</f>
        <v/>
      </c>
      <c r="E27" s="96" t="str">
        <f aca="false">IF(ISBLANK(Summary!B33),"",IF(TRIM(SUBSTITUTE(B27," ",""))="นาย","ชาย",IF(TRIM(SUBSTITUTE(B27," ",""))="นาง","หญิง",IF(TRIM(SUBSTITUTE(B27," ",""))="นางสาว","หญิง",IF(TRIM(SUBSTITUTE(B27," ",""))="น.ส.","หญิง","ระบุคำนำหน้าใม่ถูก")))))</f>
        <v/>
      </c>
      <c r="F27" s="94" t="str">
        <f aca="false">IF(ISBLANK(Summary!B33),"",Summary!F33)</f>
        <v/>
      </c>
      <c r="G27" s="96" t="str">
        <f aca="false">IF(ISBLANK(Summary!B33),"",IF(Summary!Q33="passed","ผ่าน",IF(Summary!Q33="fail","ไม่ผ่าน","")))</f>
        <v/>
      </c>
      <c r="H27" s="96" t="str">
        <f aca="false">IF(ISBLANK(Summary!B33),"",CONCATENATE(Summary!G33,Summary!H33,Summary!I33,Summary!J33,Summary!K33,N27))</f>
        <v/>
      </c>
      <c r="I27" s="97" t="str">
        <f aca="false">IF(ISBLANK(Summary!B33),"",IF(LEN(A27)=13,IF(RIGHT(11-MOD(MID(A27,1,1)*13+MID(A27,2,1)*12+MID(A27,3,1)*11+MID(A27,4,1)*10+MID(A27,5,1)*9+MID(A27,6,1)*8+MID(A27,7,1)*7+MID(A27,8,1)*6+MID(A27,9,1)*5+MID(A27,10,1)*4+MID(A27,11,1)*3+MID(A27,12,1)*2,11))=RIGHT(A27),"ถูกต้อง","ผิด "),"ไม่ครบ13หลัก"))</f>
        <v/>
      </c>
      <c r="J27" s="102"/>
      <c r="K27" s="102"/>
      <c r="L27" s="99" t="n">
        <f aca="false">Summary!N33</f>
        <v>0</v>
      </c>
      <c r="N27" s="0" t="n">
        <f aca="false">IF(L27="less than 10,000 (น้อยกว่า 10,000)",1,IF(L27="10,001-20,000",2,IF(L27="20,001-30,000",3,IF(L27="30,001-40,000",4,IF(L27="40,001-50,000",5,IF(L27="more than 50,001 (มากกว่า 50,001)",6,7))))))</f>
        <v>7</v>
      </c>
    </row>
    <row r="28" customFormat="false" ht="19.5" hidden="false" customHeight="true" outlineLevel="0" collapsed="false">
      <c r="A28" s="93" t="str">
        <f aca="false">IF(ISBLANK(Summary!B34),"",Summary!B34)</f>
        <v/>
      </c>
      <c r="B28" s="94" t="str">
        <f aca="false">IF(ISBLANK(Summary!B34),"",Summary!C34)</f>
        <v/>
      </c>
      <c r="C28" s="95" t="str">
        <f aca="false">IF(ISBLANK(Summary!B34),"",Summary!D34)</f>
        <v/>
      </c>
      <c r="D28" s="95" t="str">
        <f aca="false">IF(ISBLANK(Summary!B34),"",Summary!E34)</f>
        <v/>
      </c>
      <c r="E28" s="96" t="str">
        <f aca="false">IF(ISBLANK(Summary!B34),"",IF(TRIM(SUBSTITUTE(B28," ",""))="นาย","ชาย",IF(TRIM(SUBSTITUTE(B28," ",""))="นาง","หญิง",IF(TRIM(SUBSTITUTE(B28," ",""))="นางสาว","หญิง",IF(TRIM(SUBSTITUTE(B28," ",""))="น.ส.","หญิง","ระบุคำนำหน้าใม่ถูก")))))</f>
        <v/>
      </c>
      <c r="F28" s="94" t="str">
        <f aca="false">IF(ISBLANK(Summary!B34),"",Summary!F34)</f>
        <v/>
      </c>
      <c r="G28" s="96" t="str">
        <f aca="false">IF(ISBLANK(Summary!B34),"",IF(Summary!Q34="passed","ผ่าน",IF(Summary!Q34="fail","ไม่ผ่าน","")))</f>
        <v/>
      </c>
      <c r="H28" s="96" t="str">
        <f aca="false">IF(ISBLANK(Summary!B34),"",CONCATENATE(Summary!G34,Summary!H34,Summary!I34,Summary!J34,Summary!K34,N28))</f>
        <v/>
      </c>
      <c r="I28" s="97" t="str">
        <f aca="false">IF(ISBLANK(Summary!B34),"",IF(LEN(A28)=13,IF(RIGHT(11-MOD(MID(A28,1,1)*13+MID(A28,2,1)*12+MID(A28,3,1)*11+MID(A28,4,1)*10+MID(A28,5,1)*9+MID(A28,6,1)*8+MID(A28,7,1)*7+MID(A28,8,1)*6+MID(A28,9,1)*5+MID(A28,10,1)*4+MID(A28,11,1)*3+MID(A28,12,1)*2,11))=RIGHT(A28),"ถูกต้อง","ผิด "),"ไม่ครบ13หลัก"))</f>
        <v/>
      </c>
      <c r="J28" s="102"/>
      <c r="K28" s="102"/>
      <c r="L28" s="99" t="n">
        <f aca="false">Summary!N34</f>
        <v>0</v>
      </c>
      <c r="N28" s="0" t="n">
        <f aca="false">IF(L28="less than 10,000 (น้อยกว่า 10,000)",1,IF(L28="10,001-20,000",2,IF(L28="20,001-30,000",3,IF(L28="30,001-40,000",4,IF(L28="40,001-50,000",5,IF(L28="more than 50,001 (มากกว่า 50,001)",6,7))))))</f>
        <v>7</v>
      </c>
    </row>
    <row r="29" customFormat="false" ht="19.5" hidden="false" customHeight="true" outlineLevel="0" collapsed="false">
      <c r="A29" s="93" t="str">
        <f aca="false">IF(ISBLANK(Summary!B35),"",Summary!B35)</f>
        <v/>
      </c>
      <c r="B29" s="94" t="str">
        <f aca="false">IF(ISBLANK(Summary!B35),"",Summary!C35)</f>
        <v/>
      </c>
      <c r="C29" s="95" t="str">
        <f aca="false">IF(ISBLANK(Summary!B35),"",Summary!D35)</f>
        <v/>
      </c>
      <c r="D29" s="95" t="str">
        <f aca="false">IF(ISBLANK(Summary!B35),"",Summary!E35)</f>
        <v/>
      </c>
      <c r="E29" s="96" t="str">
        <f aca="false">IF(ISBLANK(Summary!B35),"",IF(TRIM(SUBSTITUTE(B29," ",""))="นาย","ชาย",IF(TRIM(SUBSTITUTE(B29," ",""))="นาง","หญิง",IF(TRIM(SUBSTITUTE(B29," ",""))="นางสาว","หญิง",IF(TRIM(SUBSTITUTE(B29," ",""))="น.ส.","หญิง","ระบุคำนำหน้าใม่ถูก")))))</f>
        <v/>
      </c>
      <c r="F29" s="94" t="str">
        <f aca="false">IF(ISBLANK(Summary!B35),"",Summary!F35)</f>
        <v/>
      </c>
      <c r="G29" s="96" t="str">
        <f aca="false">IF(ISBLANK(Summary!B35),"",IF(Summary!Q35="passed","ผ่าน",IF(Summary!Q35="fail","ไม่ผ่าน","")))</f>
        <v/>
      </c>
      <c r="H29" s="96" t="str">
        <f aca="false">IF(ISBLANK(Summary!B35),"",CONCATENATE(Summary!G35,Summary!H35,Summary!I35,Summary!J35,Summary!K35,N29))</f>
        <v/>
      </c>
      <c r="I29" s="97" t="str">
        <f aca="false">IF(ISBLANK(Summary!B35),"",IF(LEN(A29)=13,IF(RIGHT(11-MOD(MID(A29,1,1)*13+MID(A29,2,1)*12+MID(A29,3,1)*11+MID(A29,4,1)*10+MID(A29,5,1)*9+MID(A29,6,1)*8+MID(A29,7,1)*7+MID(A29,8,1)*6+MID(A29,9,1)*5+MID(A29,10,1)*4+MID(A29,11,1)*3+MID(A29,12,1)*2,11))=RIGHT(A29),"ถูกต้อง","ผิด "),"ไม่ครบ13หลัก"))</f>
        <v/>
      </c>
      <c r="J29" s="102"/>
      <c r="K29" s="102"/>
      <c r="L29" s="99" t="n">
        <f aca="false">Summary!N35</f>
        <v>0</v>
      </c>
      <c r="N29" s="0" t="n">
        <f aca="false">IF(L29="less than 10,000 (น้อยกว่า 10,000)",1,IF(L29="10,001-20,000",2,IF(L29="20,001-30,000",3,IF(L29="30,001-40,000",4,IF(L29="40,001-50,000",5,IF(L29="more than 50,001 (มากกว่า 50,001)",6,7))))))</f>
        <v>7</v>
      </c>
    </row>
    <row r="30" customFormat="false" ht="19.5" hidden="false" customHeight="true" outlineLevel="0" collapsed="false">
      <c r="A30" s="93" t="str">
        <f aca="false">IF(ISBLANK(Summary!B36),"",Summary!B36)</f>
        <v/>
      </c>
      <c r="B30" s="94" t="str">
        <f aca="false">IF(ISBLANK(Summary!B36),"",Summary!C36)</f>
        <v/>
      </c>
      <c r="C30" s="95" t="str">
        <f aca="false">IF(ISBLANK(Summary!B36),"",Summary!D36)</f>
        <v/>
      </c>
      <c r="D30" s="95" t="str">
        <f aca="false">IF(ISBLANK(Summary!B36),"",Summary!E36)</f>
        <v/>
      </c>
      <c r="E30" s="96" t="str">
        <f aca="false">IF(ISBLANK(Summary!B36),"",IF(TRIM(SUBSTITUTE(B30," ",""))="นาย","ชาย",IF(TRIM(SUBSTITUTE(B30," ",""))="นาง","หญิง",IF(TRIM(SUBSTITUTE(B30," ",""))="นางสาว","หญิง",IF(TRIM(SUBSTITUTE(B30," ",""))="น.ส.","หญิง","ระบุคำนำหน้าใม่ถูก")))))</f>
        <v/>
      </c>
      <c r="F30" s="94" t="str">
        <f aca="false">IF(ISBLANK(Summary!B36),"",Summary!F36)</f>
        <v/>
      </c>
      <c r="G30" s="96" t="str">
        <f aca="false">IF(ISBLANK(Summary!B36),"",IF(Summary!Q36="passed","ผ่าน",IF(Summary!Q36="fail","ไม่ผ่าน","")))</f>
        <v/>
      </c>
      <c r="H30" s="96" t="str">
        <f aca="false">IF(ISBLANK(Summary!B36),"",CONCATENATE(Summary!G36,Summary!H36,Summary!I36,Summary!J36,Summary!K36,N30))</f>
        <v/>
      </c>
      <c r="I30" s="97" t="str">
        <f aca="false">IF(ISBLANK(Summary!B36),"",IF(LEN(A30)=13,IF(RIGHT(11-MOD(MID(A30,1,1)*13+MID(A30,2,1)*12+MID(A30,3,1)*11+MID(A30,4,1)*10+MID(A30,5,1)*9+MID(A30,6,1)*8+MID(A30,7,1)*7+MID(A30,8,1)*6+MID(A30,9,1)*5+MID(A30,10,1)*4+MID(A30,11,1)*3+MID(A30,12,1)*2,11))=RIGHT(A30),"ถูกต้อง","ผิด "),"ไม่ครบ13หลัก"))</f>
        <v/>
      </c>
      <c r="J30" s="102"/>
      <c r="K30" s="102"/>
      <c r="L30" s="99" t="n">
        <f aca="false">Summary!N36</f>
        <v>0</v>
      </c>
      <c r="N30" s="0" t="n">
        <f aca="false">IF(L30="less than 10,000 (น้อยกว่า 10,000)",1,IF(L30="10,001-20,000",2,IF(L30="20,001-30,000",3,IF(L30="30,001-40,000",4,IF(L30="40,001-50,000",5,IF(L30="more than 50,001 (มากกว่า 50,001)",6,7))))))</f>
        <v>7</v>
      </c>
    </row>
    <row r="31" customFormat="false" ht="19.5" hidden="false" customHeight="true" outlineLevel="0" collapsed="false">
      <c r="A31" s="93" t="str">
        <f aca="false">IF(ISBLANK(Summary!B37),"",Summary!B37)</f>
        <v/>
      </c>
      <c r="B31" s="94" t="str">
        <f aca="false">IF(ISBLANK(Summary!B37),"",Summary!C37)</f>
        <v/>
      </c>
      <c r="C31" s="95" t="str">
        <f aca="false">IF(ISBLANK(Summary!B37),"",Summary!D37)</f>
        <v/>
      </c>
      <c r="D31" s="95" t="str">
        <f aca="false">IF(ISBLANK(Summary!B37),"",Summary!E37)</f>
        <v/>
      </c>
      <c r="E31" s="96" t="str">
        <f aca="false">IF(ISBLANK(Summary!B37),"",IF(TRIM(SUBSTITUTE(B31," ",""))="นาย","ชาย",IF(TRIM(SUBSTITUTE(B31," ",""))="นาง","หญิง",IF(TRIM(SUBSTITUTE(B31," ",""))="นางสาว","หญิง",IF(TRIM(SUBSTITUTE(B31," ",""))="น.ส.","หญิง","ระบุคำนำหน้าใม่ถูก")))))</f>
        <v/>
      </c>
      <c r="F31" s="94" t="str">
        <f aca="false">IF(ISBLANK(Summary!B37),"",Summary!F37)</f>
        <v/>
      </c>
      <c r="G31" s="96" t="str">
        <f aca="false">IF(ISBLANK(Summary!B37),"",IF(Summary!Q37="passed","ผ่าน",IF(Summary!Q37="fail","ไม่ผ่าน","")))</f>
        <v/>
      </c>
      <c r="H31" s="96" t="str">
        <f aca="false">IF(ISBLANK(Summary!B37),"",CONCATENATE(Summary!G37,Summary!H37,Summary!I37,Summary!J37,Summary!K37,N31))</f>
        <v/>
      </c>
      <c r="I31" s="97" t="str">
        <f aca="false">IF(ISBLANK(Summary!B37),"",IF(LEN(A31)=13,IF(RIGHT(11-MOD(MID(A31,1,1)*13+MID(A31,2,1)*12+MID(A31,3,1)*11+MID(A31,4,1)*10+MID(A31,5,1)*9+MID(A31,6,1)*8+MID(A31,7,1)*7+MID(A31,8,1)*6+MID(A31,9,1)*5+MID(A31,10,1)*4+MID(A31,11,1)*3+MID(A31,12,1)*2,11))=RIGHT(A31),"ถูกต้อง","ผิด "),"ไม่ครบ13หลัก"))</f>
        <v/>
      </c>
      <c r="J31" s="102"/>
      <c r="K31" s="102"/>
      <c r="L31" s="99" t="n">
        <f aca="false">Summary!N37</f>
        <v>0</v>
      </c>
      <c r="N31" s="0" t="n">
        <f aca="false">IF(L31="less than 10,000 (น้อยกว่า 10,000)",1,IF(L31="10,001-20,000",2,IF(L31="20,001-30,000",3,IF(L31="30,001-40,000",4,IF(L31="40,001-50,000",5,IF(L31="more than 50,001 (มากกว่า 50,001)",6,7))))))</f>
        <v>7</v>
      </c>
    </row>
    <row r="32" customFormat="false" ht="19.5" hidden="false" customHeight="true" outlineLevel="0" collapsed="false">
      <c r="A32" s="93" t="str">
        <f aca="false">IF(ISBLANK(Summary!B38),"",Summary!B38)</f>
        <v/>
      </c>
      <c r="B32" s="94" t="str">
        <f aca="false">IF(ISBLANK(Summary!B38),"",Summary!C38)</f>
        <v/>
      </c>
      <c r="C32" s="95" t="str">
        <f aca="false">IF(ISBLANK(Summary!B38),"",Summary!D38)</f>
        <v/>
      </c>
      <c r="D32" s="95" t="str">
        <f aca="false">IF(ISBLANK(Summary!B38),"",Summary!E38)</f>
        <v/>
      </c>
      <c r="E32" s="96" t="str">
        <f aca="false">IF(ISBLANK(Summary!B38),"",IF(TRIM(SUBSTITUTE(B32," ",""))="นาย","ชาย",IF(TRIM(SUBSTITUTE(B32," ",""))="นาง","หญิง",IF(TRIM(SUBSTITUTE(B32," ",""))="นางสาว","หญิง",IF(TRIM(SUBSTITUTE(B32," ",""))="น.ส.","หญิง","ระบุคำนำหน้าใม่ถูก")))))</f>
        <v/>
      </c>
      <c r="F32" s="94" t="str">
        <f aca="false">IF(ISBLANK(Summary!B38),"",Summary!F38)</f>
        <v/>
      </c>
      <c r="G32" s="96" t="str">
        <f aca="false">IF(ISBLANK(Summary!B38),"",IF(Summary!Q38="passed","ผ่าน",IF(Summary!Q38="fail","ไม่ผ่าน","")))</f>
        <v/>
      </c>
      <c r="H32" s="96" t="str">
        <f aca="false">IF(ISBLANK(Summary!B38),"",CONCATENATE(Summary!G38,Summary!H38,Summary!I38,Summary!J38,Summary!K38,N32))</f>
        <v/>
      </c>
      <c r="I32" s="97" t="str">
        <f aca="false">IF(ISBLANK(Summary!B38),"",IF(LEN(A32)=13,IF(RIGHT(11-MOD(MID(A32,1,1)*13+MID(A32,2,1)*12+MID(A32,3,1)*11+MID(A32,4,1)*10+MID(A32,5,1)*9+MID(A32,6,1)*8+MID(A32,7,1)*7+MID(A32,8,1)*6+MID(A32,9,1)*5+MID(A32,10,1)*4+MID(A32,11,1)*3+MID(A32,12,1)*2,11))=RIGHT(A32),"ถูกต้อง","ผิด "),"ไม่ครบ13หลัก"))</f>
        <v/>
      </c>
      <c r="J32" s="102"/>
      <c r="K32" s="102"/>
      <c r="L32" s="99" t="n">
        <f aca="false">Summary!N38</f>
        <v>0</v>
      </c>
      <c r="N32" s="0" t="n">
        <f aca="false">IF(L32="less than 10,000 (น้อยกว่า 10,000)",1,IF(L32="10,001-20,000",2,IF(L32="20,001-30,000",3,IF(L32="30,001-40,000",4,IF(L32="40,001-50,000",5,IF(L32="more than 50,001 (มากกว่า 50,001)",6,7))))))</f>
        <v>7</v>
      </c>
    </row>
    <row r="33" customFormat="false" ht="19.5" hidden="false" customHeight="true" outlineLevel="0" collapsed="false">
      <c r="A33" s="93" t="str">
        <f aca="false">IF(ISBLANK(Summary!B39),"",Summary!B39)</f>
        <v/>
      </c>
      <c r="B33" s="94" t="str">
        <f aca="false">IF(ISBLANK(Summary!B39),"",Summary!C39)</f>
        <v/>
      </c>
      <c r="C33" s="95" t="str">
        <f aca="false">IF(ISBLANK(Summary!B39),"",Summary!D39)</f>
        <v/>
      </c>
      <c r="D33" s="95" t="str">
        <f aca="false">IF(ISBLANK(Summary!B39),"",Summary!E39)</f>
        <v/>
      </c>
      <c r="E33" s="96" t="str">
        <f aca="false">IF(ISBLANK(Summary!B39),"",IF(TRIM(SUBSTITUTE(B33," ",""))="นาย","ชาย",IF(TRIM(SUBSTITUTE(B33," ",""))="นาง","หญิง",IF(TRIM(SUBSTITUTE(B33," ",""))="นางสาว","หญิง",IF(TRIM(SUBSTITUTE(B33," ",""))="น.ส.","หญิง","ระบุคำนำหน้าใม่ถูก")))))</f>
        <v/>
      </c>
      <c r="F33" s="94" t="str">
        <f aca="false">IF(ISBLANK(Summary!B39),"",Summary!F39)</f>
        <v/>
      </c>
      <c r="G33" s="96" t="str">
        <f aca="false">IF(ISBLANK(Summary!B39),"",IF(Summary!Q39="passed","ผ่าน",IF(Summary!Q39="fail","ไม่ผ่าน","")))</f>
        <v/>
      </c>
      <c r="H33" s="96" t="str">
        <f aca="false">IF(ISBLANK(Summary!B39),"",CONCATENATE(Summary!G39,Summary!H39,Summary!I39,Summary!J39,Summary!K39,N33))</f>
        <v/>
      </c>
      <c r="I33" s="97" t="str">
        <f aca="false">IF(ISBLANK(Summary!B39),"",IF(LEN(A33)=13,IF(RIGHT(11-MOD(MID(A33,1,1)*13+MID(A33,2,1)*12+MID(A33,3,1)*11+MID(A33,4,1)*10+MID(A33,5,1)*9+MID(A33,6,1)*8+MID(A33,7,1)*7+MID(A33,8,1)*6+MID(A33,9,1)*5+MID(A33,10,1)*4+MID(A33,11,1)*3+MID(A33,12,1)*2,11))=RIGHT(A33),"ถูกต้อง","ผิด "),"ไม่ครบ13หลัก"))</f>
        <v/>
      </c>
      <c r="J33" s="102"/>
      <c r="K33" s="102"/>
      <c r="L33" s="99" t="n">
        <f aca="false">Summary!N39</f>
        <v>0</v>
      </c>
      <c r="N33" s="0" t="n">
        <f aca="false">IF(L33="less than 10,000 (น้อยกว่า 10,000)",1,IF(L33="10,001-20,000",2,IF(L33="20,001-30,000",3,IF(L33="30,001-40,000",4,IF(L33="40,001-50,000",5,IF(L33="more than 50,001 (มากกว่า 50,001)",6,7))))))</f>
        <v>7</v>
      </c>
    </row>
    <row r="34" customFormat="false" ht="19.5" hidden="false" customHeight="true" outlineLevel="0" collapsed="false">
      <c r="A34" s="93" t="str">
        <f aca="false">IF(ISBLANK(Summary!B40),"",Summary!B40)</f>
        <v/>
      </c>
      <c r="B34" s="94" t="str">
        <f aca="false">IF(ISBLANK(Summary!B40),"",Summary!C40)</f>
        <v/>
      </c>
      <c r="C34" s="95" t="str">
        <f aca="false">IF(ISBLANK(Summary!B40),"",Summary!D40)</f>
        <v/>
      </c>
      <c r="D34" s="95" t="str">
        <f aca="false">IF(ISBLANK(Summary!B40),"",Summary!E40)</f>
        <v/>
      </c>
      <c r="E34" s="96" t="str">
        <f aca="false">IF(ISBLANK(Summary!B40),"",IF(TRIM(SUBSTITUTE(B34," ",""))="นาย","ชาย",IF(TRIM(SUBSTITUTE(B34," ",""))="นาง","หญิง",IF(TRIM(SUBSTITUTE(B34," ",""))="นางสาว","หญิง",IF(TRIM(SUBSTITUTE(B34," ",""))="น.ส.","หญิง","ระบุคำนำหน้าใม่ถูก")))))</f>
        <v/>
      </c>
      <c r="F34" s="94" t="str">
        <f aca="false">IF(ISBLANK(Summary!B40),"",Summary!F40)</f>
        <v/>
      </c>
      <c r="G34" s="96" t="str">
        <f aca="false">IF(ISBLANK(Summary!B40),"",IF(Summary!Q40="passed","ผ่าน",IF(Summary!Q40="fail","ไม่ผ่าน","")))</f>
        <v/>
      </c>
      <c r="H34" s="96" t="str">
        <f aca="false">IF(ISBLANK(Summary!B40),"",CONCATENATE(Summary!G40,Summary!H40,Summary!I40,Summary!J40,Summary!K40,N34))</f>
        <v/>
      </c>
      <c r="I34" s="97" t="str">
        <f aca="false">IF(ISBLANK(Summary!B40),"",IF(LEN(A34)=13,IF(RIGHT(11-MOD(MID(A34,1,1)*13+MID(A34,2,1)*12+MID(A34,3,1)*11+MID(A34,4,1)*10+MID(A34,5,1)*9+MID(A34,6,1)*8+MID(A34,7,1)*7+MID(A34,8,1)*6+MID(A34,9,1)*5+MID(A34,10,1)*4+MID(A34,11,1)*3+MID(A34,12,1)*2,11))=RIGHT(A34),"ถูกต้อง","ผิด "),"ไม่ครบ13หลัก"))</f>
        <v/>
      </c>
      <c r="J34" s="102"/>
      <c r="K34" s="102"/>
      <c r="L34" s="99" t="n">
        <f aca="false">Summary!N40</f>
        <v>0</v>
      </c>
      <c r="N34" s="0" t="n">
        <f aca="false">IF(L34="less than 10,000 (น้อยกว่า 10,000)",1,IF(L34="10,001-20,000",2,IF(L34="20,001-30,000",3,IF(L34="30,001-40,000",4,IF(L34="40,001-50,000",5,IF(L34="more than 50,001 (มากกว่า 50,001)",6,7))))))</f>
        <v>7</v>
      </c>
    </row>
    <row r="35" customFormat="false" ht="19.5" hidden="false" customHeight="true" outlineLevel="0" collapsed="false">
      <c r="A35" s="93" t="str">
        <f aca="false">IF(ISBLANK(Summary!B41),"",Summary!B41)</f>
        <v/>
      </c>
      <c r="B35" s="94" t="str">
        <f aca="false">IF(ISBLANK(Summary!B41),"",Summary!C41)</f>
        <v/>
      </c>
      <c r="C35" s="95" t="str">
        <f aca="false">IF(ISBLANK(Summary!B41),"",Summary!D41)</f>
        <v/>
      </c>
      <c r="D35" s="95" t="str">
        <f aca="false">IF(ISBLANK(Summary!B41),"",Summary!E41)</f>
        <v/>
      </c>
      <c r="E35" s="96" t="str">
        <f aca="false">IF(ISBLANK(Summary!B41),"",IF(TRIM(SUBSTITUTE(B35," ",""))="นาย","ชาย",IF(TRIM(SUBSTITUTE(B35," ",""))="นาง","หญิง",IF(TRIM(SUBSTITUTE(B35," ",""))="นางสาว","หญิง",IF(TRIM(SUBSTITUTE(B35," ",""))="น.ส.","หญิง","ระบุคำนำหน้าใม่ถูก")))))</f>
        <v/>
      </c>
      <c r="F35" s="94" t="str">
        <f aca="false">IF(ISBLANK(Summary!B41),"",Summary!F41)</f>
        <v/>
      </c>
      <c r="G35" s="96" t="str">
        <f aca="false">IF(ISBLANK(Summary!B41),"",IF(Summary!Q41="passed","ผ่าน",IF(Summary!Q41="fail","ไม่ผ่าน","")))</f>
        <v/>
      </c>
      <c r="H35" s="96" t="str">
        <f aca="false">IF(ISBLANK(Summary!B41),"",CONCATENATE(Summary!G41,Summary!H41,Summary!I41,Summary!J41,Summary!K41,N35))</f>
        <v/>
      </c>
      <c r="I35" s="97" t="str">
        <f aca="false">IF(ISBLANK(Summary!B41),"",IF(LEN(A35)=13,IF(RIGHT(11-MOD(MID(A35,1,1)*13+MID(A35,2,1)*12+MID(A35,3,1)*11+MID(A35,4,1)*10+MID(A35,5,1)*9+MID(A35,6,1)*8+MID(A35,7,1)*7+MID(A35,8,1)*6+MID(A35,9,1)*5+MID(A35,10,1)*4+MID(A35,11,1)*3+MID(A35,12,1)*2,11))=RIGHT(A35),"ถูกต้อง","ผิด "),"ไม่ครบ13หลัก"))</f>
        <v/>
      </c>
      <c r="J35" s="102"/>
      <c r="K35" s="102"/>
      <c r="L35" s="99" t="n">
        <f aca="false">Summary!N41</f>
        <v>0</v>
      </c>
      <c r="N35" s="0" t="n">
        <f aca="false">IF(L35="less than 10,000 (น้อยกว่า 10,000)",1,IF(L35="10,001-20,000",2,IF(L35="20,001-30,000",3,IF(L35="30,001-40,000",4,IF(L35="40,001-50,000",5,IF(L35="more than 50,001 (มากกว่า 50,001)",6,7))))))</f>
        <v>7</v>
      </c>
    </row>
    <row r="36" customFormat="false" ht="19.5" hidden="false" customHeight="true" outlineLevel="0" collapsed="false">
      <c r="A36" s="93" t="str">
        <f aca="false">IF(ISBLANK(Summary!B42),"",Summary!B42)</f>
        <v/>
      </c>
      <c r="B36" s="94" t="str">
        <f aca="false">IF(ISBLANK(Summary!B42),"",Summary!C42)</f>
        <v/>
      </c>
      <c r="C36" s="95" t="str">
        <f aca="false">IF(ISBLANK(Summary!B42),"",Summary!D42)</f>
        <v/>
      </c>
      <c r="D36" s="95" t="str">
        <f aca="false">IF(ISBLANK(Summary!B42),"",Summary!E42)</f>
        <v/>
      </c>
      <c r="E36" s="96" t="str">
        <f aca="false">IF(ISBLANK(Summary!B42),"",IF(TRIM(SUBSTITUTE(B36," ",""))="นาย","ชาย",IF(TRIM(SUBSTITUTE(B36," ",""))="นาง","หญิง",IF(TRIM(SUBSTITUTE(B36," ",""))="นางสาว","หญิง",IF(TRIM(SUBSTITUTE(B36," ",""))="น.ส.","หญิง","ระบุคำนำหน้าใม่ถูก")))))</f>
        <v/>
      </c>
      <c r="F36" s="94" t="str">
        <f aca="false">IF(ISBLANK(Summary!B42),"",Summary!F42)</f>
        <v/>
      </c>
      <c r="G36" s="96" t="str">
        <f aca="false">IF(ISBLANK(Summary!B42),"",IF(Summary!Q42="passed","ผ่าน",IF(Summary!Q42="fail","ไม่ผ่าน","")))</f>
        <v/>
      </c>
      <c r="H36" s="96" t="str">
        <f aca="false">IF(ISBLANK(Summary!B42),"",CONCATENATE(Summary!G42,Summary!H42,Summary!I42,Summary!J42,Summary!K42,N36))</f>
        <v/>
      </c>
      <c r="I36" s="97" t="str">
        <f aca="false">IF(ISBLANK(Summary!B42),"",IF(LEN(A36)=13,IF(RIGHT(11-MOD(MID(A36,1,1)*13+MID(A36,2,1)*12+MID(A36,3,1)*11+MID(A36,4,1)*10+MID(A36,5,1)*9+MID(A36,6,1)*8+MID(A36,7,1)*7+MID(A36,8,1)*6+MID(A36,9,1)*5+MID(A36,10,1)*4+MID(A36,11,1)*3+MID(A36,12,1)*2,11))=RIGHT(A36),"ถูกต้อง","ผิด "),"ไม่ครบ13หลัก"))</f>
        <v/>
      </c>
      <c r="J36" s="102"/>
      <c r="K36" s="102"/>
      <c r="L36" s="99" t="n">
        <f aca="false">Summary!N42</f>
        <v>0</v>
      </c>
      <c r="N36" s="0" t="n">
        <f aca="false">IF(L36="less than 10,000 (น้อยกว่า 10,000)",1,IF(L36="10,001-20,000",2,IF(L36="20,001-30,000",3,IF(L36="30,001-40,000",4,IF(L36="40,001-50,000",5,IF(L36="more than 50,001 (มากกว่า 50,001)",6,7))))))</f>
        <v>7</v>
      </c>
    </row>
    <row r="37" customFormat="false" ht="19.5" hidden="false" customHeight="true" outlineLevel="0" collapsed="false">
      <c r="A37" s="93" t="str">
        <f aca="false">IF(ISBLANK(Summary!B43),"",Summary!B43)</f>
        <v/>
      </c>
      <c r="B37" s="94" t="str">
        <f aca="false">IF(ISBLANK(Summary!B43),"",Summary!C43)</f>
        <v/>
      </c>
      <c r="C37" s="95" t="str">
        <f aca="false">IF(ISBLANK(Summary!B43),"",Summary!D43)</f>
        <v/>
      </c>
      <c r="D37" s="95" t="str">
        <f aca="false">IF(ISBLANK(Summary!B43),"",Summary!E43)</f>
        <v/>
      </c>
      <c r="E37" s="96" t="str">
        <f aca="false">IF(ISBLANK(Summary!B43),"",IF(TRIM(SUBSTITUTE(B37," ",""))="นาย","ชาย",IF(TRIM(SUBSTITUTE(B37," ",""))="นาง","หญิง",IF(TRIM(SUBSTITUTE(B37," ",""))="นางสาว","หญิง",IF(TRIM(SUBSTITUTE(B37," ",""))="น.ส.","หญิง","ระบุคำนำหน้าใม่ถูก")))))</f>
        <v/>
      </c>
      <c r="F37" s="94" t="str">
        <f aca="false">IF(ISBLANK(Summary!B43),"",Summary!F43)</f>
        <v/>
      </c>
      <c r="G37" s="96" t="str">
        <f aca="false">IF(ISBLANK(Summary!B43),"",IF(Summary!Q43="passed","ผ่าน",IF(Summary!Q43="fail","ไม่ผ่าน","")))</f>
        <v/>
      </c>
      <c r="H37" s="96" t="str">
        <f aca="false">IF(ISBLANK(Summary!B43),"",CONCATENATE(Summary!G43,Summary!H43,Summary!I43,Summary!J43,Summary!K43,N37))</f>
        <v/>
      </c>
      <c r="I37" s="97" t="str">
        <f aca="false">IF(ISBLANK(Summary!B43),"",IF(LEN(A37)=13,IF(RIGHT(11-MOD(MID(A37,1,1)*13+MID(A37,2,1)*12+MID(A37,3,1)*11+MID(A37,4,1)*10+MID(A37,5,1)*9+MID(A37,6,1)*8+MID(A37,7,1)*7+MID(A37,8,1)*6+MID(A37,9,1)*5+MID(A37,10,1)*4+MID(A37,11,1)*3+MID(A37,12,1)*2,11))=RIGHT(A37),"ถูกต้อง","ผิด "),"ไม่ครบ13หลัก"))</f>
        <v/>
      </c>
      <c r="J37" s="102"/>
      <c r="K37" s="102"/>
      <c r="L37" s="99" t="n">
        <f aca="false">Summary!N43</f>
        <v>0</v>
      </c>
      <c r="N37" s="0" t="n">
        <f aca="false">IF(L37="less than 10,000 (น้อยกว่า 10,000)",1,IF(L37="10,001-20,000",2,IF(L37="20,001-30,000",3,IF(L37="30,001-40,000",4,IF(L37="40,001-50,000",5,IF(L37="more than 50,001 (มากกว่า 50,001)",6,7))))))</f>
        <v>7</v>
      </c>
    </row>
    <row r="38" customFormat="false" ht="19.5" hidden="false" customHeight="true" outlineLevel="0" collapsed="false">
      <c r="A38" s="93" t="str">
        <f aca="false">IF(ISBLANK(Summary!B44),"",Summary!B44)</f>
        <v/>
      </c>
      <c r="B38" s="94" t="str">
        <f aca="false">IF(ISBLANK(Summary!B44),"",Summary!C44)</f>
        <v/>
      </c>
      <c r="C38" s="95" t="str">
        <f aca="false">IF(ISBLANK(Summary!B44),"",Summary!D44)</f>
        <v/>
      </c>
      <c r="D38" s="95" t="str">
        <f aca="false">IF(ISBLANK(Summary!B44),"",Summary!E44)</f>
        <v/>
      </c>
      <c r="E38" s="96" t="str">
        <f aca="false">IF(ISBLANK(Summary!B44),"",IF(TRIM(SUBSTITUTE(B38," ",""))="นาย","ชาย",IF(TRIM(SUBSTITUTE(B38," ",""))="นาง","หญิง",IF(TRIM(SUBSTITUTE(B38," ",""))="นางสาว","หญิง",IF(TRIM(SUBSTITUTE(B38," ",""))="น.ส.","หญิง","ระบุคำนำหน้าใม่ถูก")))))</f>
        <v/>
      </c>
      <c r="F38" s="94" t="str">
        <f aca="false">IF(ISBLANK(Summary!B44),"",Summary!F44)</f>
        <v/>
      </c>
      <c r="G38" s="96" t="str">
        <f aca="false">IF(ISBLANK(Summary!B44),"",IF(Summary!Q44="passed","ผ่าน",IF(Summary!Q44="fail","ไม่ผ่าน","")))</f>
        <v/>
      </c>
      <c r="H38" s="96" t="str">
        <f aca="false">IF(ISBLANK(Summary!B44),"",CONCATENATE(Summary!G44,Summary!H44,Summary!I44,Summary!J44,Summary!K44,N38))</f>
        <v/>
      </c>
      <c r="I38" s="97" t="str">
        <f aca="false">IF(ISBLANK(Summary!B44),"",IF(LEN(A38)=13,IF(RIGHT(11-MOD(MID(A38,1,1)*13+MID(A38,2,1)*12+MID(A38,3,1)*11+MID(A38,4,1)*10+MID(A38,5,1)*9+MID(A38,6,1)*8+MID(A38,7,1)*7+MID(A38,8,1)*6+MID(A38,9,1)*5+MID(A38,10,1)*4+MID(A38,11,1)*3+MID(A38,12,1)*2,11))=RIGHT(A38),"ถูกต้อง","ผิด "),"ไม่ครบ13หลัก"))</f>
        <v/>
      </c>
      <c r="J38" s="102"/>
      <c r="K38" s="102"/>
      <c r="L38" s="99" t="n">
        <f aca="false">Summary!N44</f>
        <v>0</v>
      </c>
      <c r="N38" s="0" t="n">
        <f aca="false">IF(L38="less than 10,000 (น้อยกว่า 10,000)",1,IF(L38="10,001-20,000",2,IF(L38="20,001-30,000",3,IF(L38="30,001-40,000",4,IF(L38="40,001-50,000",5,IF(L38="more than 50,001 (มากกว่า 50,001)",6,7))))))</f>
        <v>7</v>
      </c>
    </row>
    <row r="39" customFormat="false" ht="19.5" hidden="false" customHeight="true" outlineLevel="0" collapsed="false">
      <c r="A39" s="93" t="str">
        <f aca="false">IF(ISBLANK(Summary!B45),"",Summary!B45)</f>
        <v/>
      </c>
      <c r="B39" s="94" t="str">
        <f aca="false">IF(ISBLANK(Summary!B45),"",Summary!C45)</f>
        <v/>
      </c>
      <c r="C39" s="95" t="str">
        <f aca="false">IF(ISBLANK(Summary!B45),"",Summary!D45)</f>
        <v/>
      </c>
      <c r="D39" s="95" t="str">
        <f aca="false">IF(ISBLANK(Summary!B45),"",Summary!E45)</f>
        <v/>
      </c>
      <c r="E39" s="96" t="str">
        <f aca="false">IF(ISBLANK(Summary!B45),"",IF(TRIM(SUBSTITUTE(B39," ",""))="นาย","ชาย",IF(TRIM(SUBSTITUTE(B39," ",""))="นาง","หญิง",IF(TRIM(SUBSTITUTE(B39," ",""))="นางสาว","หญิง",IF(TRIM(SUBSTITUTE(B39," ",""))="น.ส.","หญิง","ระบุคำนำหน้าใม่ถูก")))))</f>
        <v/>
      </c>
      <c r="F39" s="94" t="str">
        <f aca="false">IF(ISBLANK(Summary!B45),"",Summary!F45)</f>
        <v/>
      </c>
      <c r="G39" s="96" t="str">
        <f aca="false">IF(ISBLANK(Summary!B45),"",IF(Summary!Q45="passed","ผ่าน",IF(Summary!Q45="fail","ไม่ผ่าน","")))</f>
        <v/>
      </c>
      <c r="H39" s="96" t="str">
        <f aca="false">IF(ISBLANK(Summary!B45),"",CONCATENATE(Summary!G45,Summary!H45,Summary!I45,Summary!J45,Summary!K45,N39))</f>
        <v/>
      </c>
      <c r="I39" s="97" t="str">
        <f aca="false">IF(ISBLANK(Summary!B45),"",IF(LEN(A39)=13,IF(RIGHT(11-MOD(MID(A39,1,1)*13+MID(A39,2,1)*12+MID(A39,3,1)*11+MID(A39,4,1)*10+MID(A39,5,1)*9+MID(A39,6,1)*8+MID(A39,7,1)*7+MID(A39,8,1)*6+MID(A39,9,1)*5+MID(A39,10,1)*4+MID(A39,11,1)*3+MID(A39,12,1)*2,11))=RIGHT(A39),"ถูกต้อง","ผิด "),"ไม่ครบ13หลัก"))</f>
        <v/>
      </c>
      <c r="J39" s="102"/>
      <c r="K39" s="102"/>
      <c r="L39" s="99" t="n">
        <f aca="false">Summary!N45</f>
        <v>0</v>
      </c>
      <c r="N39" s="0" t="n">
        <f aca="false">IF(L39="less than 10,000 (น้อยกว่า 10,000)",1,IF(L39="10,001-20,000",2,IF(L39="20,001-30,000",3,IF(L39="30,001-40,000",4,IF(L39="40,001-50,000",5,IF(L39="more than 50,001 (มากกว่า 50,001)",6,7))))))</f>
        <v>7</v>
      </c>
    </row>
    <row r="40" customFormat="false" ht="19.5" hidden="false" customHeight="true" outlineLevel="0" collapsed="false">
      <c r="A40" s="93" t="str">
        <f aca="false">IF(ISBLANK(Summary!B46),"",Summary!B46)</f>
        <v/>
      </c>
      <c r="B40" s="94" t="str">
        <f aca="false">IF(ISBLANK(Summary!B46),"",Summary!C46)</f>
        <v/>
      </c>
      <c r="C40" s="95" t="str">
        <f aca="false">IF(ISBLANK(Summary!B46),"",Summary!D46)</f>
        <v/>
      </c>
      <c r="D40" s="95" t="str">
        <f aca="false">IF(ISBLANK(Summary!B46),"",Summary!E46)</f>
        <v/>
      </c>
      <c r="E40" s="96" t="str">
        <f aca="false">IF(ISBLANK(Summary!B46),"",IF(TRIM(SUBSTITUTE(B40," ",""))="นาย","ชาย",IF(TRIM(SUBSTITUTE(B40," ",""))="นาง","หญิง",IF(TRIM(SUBSTITUTE(B40," ",""))="นางสาว","หญิง",IF(TRIM(SUBSTITUTE(B40," ",""))="น.ส.","หญิง","ระบุคำนำหน้าใม่ถูก")))))</f>
        <v/>
      </c>
      <c r="F40" s="94" t="str">
        <f aca="false">IF(ISBLANK(Summary!B46),"",Summary!F46)</f>
        <v/>
      </c>
      <c r="G40" s="96" t="str">
        <f aca="false">IF(ISBLANK(Summary!B46),"",IF(Summary!Q46="passed","ผ่าน",IF(Summary!Q46="fail","ไม่ผ่าน","")))</f>
        <v/>
      </c>
      <c r="H40" s="96" t="str">
        <f aca="false">IF(ISBLANK(Summary!B46),"",CONCATENATE(Summary!G46,Summary!H46,Summary!I46,Summary!J46,Summary!K46,N40))</f>
        <v/>
      </c>
      <c r="I40" s="97" t="str">
        <f aca="false">IF(ISBLANK(Summary!B46),"",IF(LEN(A40)=13,IF(RIGHT(11-MOD(MID(A40,1,1)*13+MID(A40,2,1)*12+MID(A40,3,1)*11+MID(A40,4,1)*10+MID(A40,5,1)*9+MID(A40,6,1)*8+MID(A40,7,1)*7+MID(A40,8,1)*6+MID(A40,9,1)*5+MID(A40,10,1)*4+MID(A40,11,1)*3+MID(A40,12,1)*2,11))=RIGHT(A40),"ถูกต้อง","ผิด "),"ไม่ครบ13หลัก"))</f>
        <v/>
      </c>
      <c r="J40" s="102"/>
      <c r="K40" s="102"/>
      <c r="L40" s="99" t="n">
        <f aca="false">Summary!N46</f>
        <v>0</v>
      </c>
      <c r="N40" s="0" t="n">
        <f aca="false">IF(L40="less than 10,000 (น้อยกว่า 10,000)",1,IF(L40="10,001-20,000",2,IF(L40="20,001-30,000",3,IF(L40="30,001-40,000",4,IF(L40="40,001-50,000",5,IF(L40="more than 50,001 (มากกว่า 50,001)",6,7))))))</f>
        <v>7</v>
      </c>
    </row>
    <row r="41" customFormat="false" ht="19.5" hidden="false" customHeight="true" outlineLevel="0" collapsed="false">
      <c r="A41" s="93" t="str">
        <f aca="false">IF(ISBLANK(Summary!B47),"",Summary!B47)</f>
        <v/>
      </c>
      <c r="B41" s="94" t="str">
        <f aca="false">IF(ISBLANK(Summary!B47),"",Summary!C47)</f>
        <v/>
      </c>
      <c r="C41" s="95" t="str">
        <f aca="false">IF(ISBLANK(Summary!B47),"",Summary!D47)</f>
        <v/>
      </c>
      <c r="D41" s="95" t="str">
        <f aca="false">IF(ISBLANK(Summary!B47),"",Summary!E47)</f>
        <v/>
      </c>
      <c r="E41" s="96" t="str">
        <f aca="false">IF(ISBLANK(Summary!B47),"",IF(TRIM(SUBSTITUTE(B41," ",""))="นาย","ชาย",IF(TRIM(SUBSTITUTE(B41," ",""))="นาง","หญิง",IF(TRIM(SUBSTITUTE(B41," ",""))="นางสาว","หญิง",IF(TRIM(SUBSTITUTE(B41," ",""))="น.ส.","หญิง","ระบุคำนำหน้าใม่ถูก")))))</f>
        <v/>
      </c>
      <c r="F41" s="94" t="str">
        <f aca="false">IF(ISBLANK(Summary!B47),"",Summary!F47)</f>
        <v/>
      </c>
      <c r="G41" s="96" t="str">
        <f aca="false">IF(ISBLANK(Summary!B47),"",IF(Summary!Q47="passed","ผ่าน",IF(Summary!Q47="fail","ไม่ผ่าน","")))</f>
        <v/>
      </c>
      <c r="H41" s="96" t="str">
        <f aca="false">IF(ISBLANK(Summary!B47),"",CONCATENATE(Summary!G47,Summary!H47,Summary!I47,Summary!J47,Summary!K47,N41))</f>
        <v/>
      </c>
      <c r="I41" s="97" t="str">
        <f aca="false">IF(ISBLANK(Summary!B47),"",IF(LEN(A41)=13,IF(RIGHT(11-MOD(MID(A41,1,1)*13+MID(A41,2,1)*12+MID(A41,3,1)*11+MID(A41,4,1)*10+MID(A41,5,1)*9+MID(A41,6,1)*8+MID(A41,7,1)*7+MID(A41,8,1)*6+MID(A41,9,1)*5+MID(A41,10,1)*4+MID(A41,11,1)*3+MID(A41,12,1)*2,11))=RIGHT(A41),"ถูกต้อง","ผิด "),"ไม่ครบ13หลัก"))</f>
        <v/>
      </c>
      <c r="J41" s="102"/>
      <c r="K41" s="102"/>
      <c r="L41" s="99" t="n">
        <f aca="false">Summary!N47</f>
        <v>0</v>
      </c>
      <c r="N41" s="0" t="n">
        <f aca="false">IF(L41="less than 10,000 (น้อยกว่า 10,000)",1,IF(L41="10,001-20,000",2,IF(L41="20,001-30,000",3,IF(L41="30,001-40,000",4,IF(L41="40,001-50,000",5,IF(L41="more than 50,001 (มากกว่า 50,001)",6,7))))))</f>
        <v>7</v>
      </c>
    </row>
    <row r="42" customFormat="false" ht="19.5" hidden="false" customHeight="true" outlineLevel="0" collapsed="false">
      <c r="A42" s="93" t="str">
        <f aca="false">IF(ISBLANK(Summary!B48),"",Summary!B48)</f>
        <v/>
      </c>
      <c r="B42" s="94" t="str">
        <f aca="false">IF(ISBLANK(Summary!B48),"",Summary!C48)</f>
        <v/>
      </c>
      <c r="C42" s="95" t="str">
        <f aca="false">IF(ISBLANK(Summary!B48),"",Summary!D48)</f>
        <v/>
      </c>
      <c r="D42" s="95" t="str">
        <f aca="false">IF(ISBLANK(Summary!B48),"",Summary!E48)</f>
        <v/>
      </c>
      <c r="E42" s="96" t="str">
        <f aca="false">IF(ISBLANK(Summary!B48),"",IF(TRIM(SUBSTITUTE(B42," ",""))="นาย","ชาย",IF(TRIM(SUBSTITUTE(B42," ",""))="นาง","หญิง",IF(TRIM(SUBSTITUTE(B42," ",""))="นางสาว","หญิง",IF(TRIM(SUBSTITUTE(B42," ",""))="น.ส.","หญิง","ระบุคำนำหน้าใม่ถูก")))))</f>
        <v/>
      </c>
      <c r="F42" s="94" t="str">
        <f aca="false">IF(ISBLANK(Summary!B48),"",Summary!F48)</f>
        <v/>
      </c>
      <c r="G42" s="96" t="str">
        <f aca="false">IF(ISBLANK(Summary!B48),"",IF(Summary!Q48="passed","ผ่าน",IF(Summary!Q48="fail","ไม่ผ่าน","")))</f>
        <v/>
      </c>
      <c r="H42" s="96" t="str">
        <f aca="false">IF(ISBLANK(Summary!B48),"",CONCATENATE(Summary!G48,Summary!H48,Summary!I48,Summary!J48,Summary!K48,N42))</f>
        <v/>
      </c>
      <c r="I42" s="97" t="str">
        <f aca="false">IF(ISBLANK(Summary!B48),"",IF(LEN(A42)=13,IF(RIGHT(11-MOD(MID(A42,1,1)*13+MID(A42,2,1)*12+MID(A42,3,1)*11+MID(A42,4,1)*10+MID(A42,5,1)*9+MID(A42,6,1)*8+MID(A42,7,1)*7+MID(A42,8,1)*6+MID(A42,9,1)*5+MID(A42,10,1)*4+MID(A42,11,1)*3+MID(A42,12,1)*2,11))=RIGHT(A42),"ถูกต้อง","ผิด "),"ไม่ครบ13หลัก"))</f>
        <v/>
      </c>
      <c r="J42" s="102"/>
      <c r="K42" s="102"/>
      <c r="L42" s="99" t="n">
        <f aca="false">Summary!N48</f>
        <v>0</v>
      </c>
      <c r="N42" s="0" t="n">
        <f aca="false">IF(L42="less than 10,000 (น้อยกว่า 10,000)",1,IF(L42="10,001-20,000",2,IF(L42="20,001-30,000",3,IF(L42="30,001-40,000",4,IF(L42="40,001-50,000",5,IF(L42="more than 50,001 (มากกว่า 50,001)",6,7))))))</f>
        <v>7</v>
      </c>
    </row>
    <row r="43" customFormat="false" ht="19.5" hidden="false" customHeight="true" outlineLevel="0" collapsed="false">
      <c r="A43" s="93" t="str">
        <f aca="false">IF(ISBLANK(Summary!B49),"",Summary!B49)</f>
        <v/>
      </c>
      <c r="B43" s="94" t="str">
        <f aca="false">IF(ISBLANK(Summary!B49),"",Summary!C49)</f>
        <v/>
      </c>
      <c r="C43" s="95" t="str">
        <f aca="false">IF(ISBLANK(Summary!B49),"",Summary!D49)</f>
        <v/>
      </c>
      <c r="D43" s="95" t="str">
        <f aca="false">IF(ISBLANK(Summary!B49),"",Summary!E49)</f>
        <v/>
      </c>
      <c r="E43" s="96" t="str">
        <f aca="false">IF(ISBLANK(Summary!B49),"",IF(TRIM(SUBSTITUTE(B43," ",""))="นาย","ชาย",IF(TRIM(SUBSTITUTE(B43," ",""))="นาง","หญิง",IF(TRIM(SUBSTITUTE(B43," ",""))="นางสาว","หญิง",IF(TRIM(SUBSTITUTE(B43," ",""))="น.ส.","หญิง","ระบุคำนำหน้าใม่ถูก")))))</f>
        <v/>
      </c>
      <c r="F43" s="94" t="str">
        <f aca="false">IF(ISBLANK(Summary!B49),"",Summary!F49)</f>
        <v/>
      </c>
      <c r="G43" s="96" t="str">
        <f aca="false">IF(ISBLANK(Summary!B49),"",IF(Summary!Q49="passed","ผ่าน",IF(Summary!Q49="fail","ไม่ผ่าน","")))</f>
        <v/>
      </c>
      <c r="H43" s="96" t="str">
        <f aca="false">IF(ISBLANK(Summary!B49),"",CONCATENATE(Summary!G49,Summary!H49,Summary!I49,Summary!J49,Summary!K49,N43))</f>
        <v/>
      </c>
      <c r="I43" s="97" t="str">
        <f aca="false">IF(ISBLANK(Summary!B49),"",IF(LEN(A43)=13,IF(RIGHT(11-MOD(MID(A43,1,1)*13+MID(A43,2,1)*12+MID(A43,3,1)*11+MID(A43,4,1)*10+MID(A43,5,1)*9+MID(A43,6,1)*8+MID(A43,7,1)*7+MID(A43,8,1)*6+MID(A43,9,1)*5+MID(A43,10,1)*4+MID(A43,11,1)*3+MID(A43,12,1)*2,11))=RIGHT(A43),"ถูกต้อง","ผิด "),"ไม่ครบ13หลัก"))</f>
        <v/>
      </c>
      <c r="J43" s="102"/>
      <c r="K43" s="102"/>
      <c r="L43" s="99" t="n">
        <f aca="false">Summary!N49</f>
        <v>0</v>
      </c>
      <c r="N43" s="0" t="n">
        <f aca="false">IF(L43="less than 10,000 (น้อยกว่า 10,000)",1,IF(L43="10,001-20,000",2,IF(L43="20,001-30,000",3,IF(L43="30,001-40,000",4,IF(L43="40,001-50,000",5,IF(L43="more than 50,001 (มากกว่า 50,001)",6,7))))))</f>
        <v>7</v>
      </c>
    </row>
    <row r="44" customFormat="false" ht="19.5" hidden="false" customHeight="true" outlineLevel="0" collapsed="false">
      <c r="A44" s="93" t="str">
        <f aca="false">IF(ISBLANK(Summary!B50),"",Summary!B50)</f>
        <v/>
      </c>
      <c r="B44" s="94" t="str">
        <f aca="false">IF(ISBLANK(Summary!B50),"",Summary!C50)</f>
        <v/>
      </c>
      <c r="C44" s="95" t="str">
        <f aca="false">IF(ISBLANK(Summary!B50),"",Summary!D50)</f>
        <v/>
      </c>
      <c r="D44" s="95" t="str">
        <f aca="false">IF(ISBLANK(Summary!B50),"",Summary!E50)</f>
        <v/>
      </c>
      <c r="E44" s="96" t="str">
        <f aca="false">IF(ISBLANK(Summary!B50),"",IF(TRIM(SUBSTITUTE(B44," ",""))="นาย","ชาย",IF(TRIM(SUBSTITUTE(B44," ",""))="นาง","หญิง",IF(TRIM(SUBSTITUTE(B44," ",""))="นางสาว","หญิง",IF(TRIM(SUBSTITUTE(B44," ",""))="น.ส.","หญิง","ระบุคำนำหน้าใม่ถูก")))))</f>
        <v/>
      </c>
      <c r="F44" s="94" t="str">
        <f aca="false">IF(ISBLANK(Summary!B50),"",Summary!F50)</f>
        <v/>
      </c>
      <c r="G44" s="96" t="str">
        <f aca="false">IF(ISBLANK(Summary!B50),"",IF(Summary!Q50="passed","ผ่าน",IF(Summary!Q50="fail","ไม่ผ่าน","")))</f>
        <v/>
      </c>
      <c r="H44" s="96" t="str">
        <f aca="false">IF(ISBLANK(Summary!B50),"",CONCATENATE(Summary!G50,Summary!H50,Summary!I50,Summary!J50,Summary!K50,N44))</f>
        <v/>
      </c>
      <c r="I44" s="97" t="str">
        <f aca="false">IF(ISBLANK(Summary!B50),"",IF(LEN(A44)=13,IF(RIGHT(11-MOD(MID(A44,1,1)*13+MID(A44,2,1)*12+MID(A44,3,1)*11+MID(A44,4,1)*10+MID(A44,5,1)*9+MID(A44,6,1)*8+MID(A44,7,1)*7+MID(A44,8,1)*6+MID(A44,9,1)*5+MID(A44,10,1)*4+MID(A44,11,1)*3+MID(A44,12,1)*2,11))=RIGHT(A44),"ถูกต้อง","ผิด "),"ไม่ครบ13หลัก"))</f>
        <v/>
      </c>
      <c r="J44" s="102"/>
      <c r="K44" s="102"/>
      <c r="L44" s="99" t="n">
        <f aca="false">Summary!N50</f>
        <v>0</v>
      </c>
      <c r="N44" s="0" t="n">
        <f aca="false">IF(L44="less than 10,000 (น้อยกว่า 10,000)",1,IF(L44="10,001-20,000",2,IF(L44="20,001-30,000",3,IF(L44="30,001-40,000",4,IF(L44="40,001-50,000",5,IF(L44="more than 50,001 (มากกว่า 50,001)",6,7))))))</f>
        <v>7</v>
      </c>
    </row>
    <row r="45" customFormat="false" ht="19.5" hidden="false" customHeight="true" outlineLevel="0" collapsed="false">
      <c r="A45" s="93" t="str">
        <f aca="false">IF(ISBLANK(Summary!B51),"",Summary!B51)</f>
        <v/>
      </c>
      <c r="B45" s="94" t="str">
        <f aca="false">IF(ISBLANK(Summary!B51),"",Summary!C51)</f>
        <v/>
      </c>
      <c r="C45" s="95" t="str">
        <f aca="false">IF(ISBLANK(Summary!B51),"",Summary!D51)</f>
        <v/>
      </c>
      <c r="D45" s="95" t="str">
        <f aca="false">IF(ISBLANK(Summary!B51),"",Summary!E51)</f>
        <v/>
      </c>
      <c r="E45" s="96" t="str">
        <f aca="false">IF(ISBLANK(Summary!B51),"",IF(TRIM(SUBSTITUTE(B45," ",""))="นาย","ชาย",IF(TRIM(SUBSTITUTE(B45," ",""))="นาง","หญิง",IF(TRIM(SUBSTITUTE(B45," ",""))="นางสาว","หญิง",IF(TRIM(SUBSTITUTE(B45," ",""))="น.ส.","หญิง","ระบุคำนำหน้าใม่ถูก")))))</f>
        <v/>
      </c>
      <c r="F45" s="94" t="str">
        <f aca="false">IF(ISBLANK(Summary!B51),"",Summary!F51)</f>
        <v/>
      </c>
      <c r="G45" s="96" t="str">
        <f aca="false">IF(ISBLANK(Summary!B51),"",IF(Summary!Q51="passed","ผ่าน",IF(Summary!Q51="fail","ไม่ผ่าน","")))</f>
        <v/>
      </c>
      <c r="H45" s="96" t="str">
        <f aca="false">IF(ISBLANK(Summary!B51),"",CONCATENATE(Summary!G51,Summary!H51,Summary!I51,Summary!J51,Summary!K51,N45))</f>
        <v/>
      </c>
      <c r="I45" s="97" t="str">
        <f aca="false">IF(ISBLANK(Summary!B51),"",IF(LEN(A45)=13,IF(RIGHT(11-MOD(MID(A45,1,1)*13+MID(A45,2,1)*12+MID(A45,3,1)*11+MID(A45,4,1)*10+MID(A45,5,1)*9+MID(A45,6,1)*8+MID(A45,7,1)*7+MID(A45,8,1)*6+MID(A45,9,1)*5+MID(A45,10,1)*4+MID(A45,11,1)*3+MID(A45,12,1)*2,11))=RIGHT(A45),"ถูกต้อง","ผิด "),"ไม่ครบ13หลัก"))</f>
        <v/>
      </c>
      <c r="J45" s="102"/>
      <c r="K45" s="102"/>
      <c r="L45" s="99" t="n">
        <f aca="false">Summary!N51</f>
        <v>0</v>
      </c>
      <c r="N45" s="0" t="n">
        <f aca="false">IF(L45="less than 10,000 (น้อยกว่า 10,000)",1,IF(L45="10,001-20,000",2,IF(L45="20,001-30,000",3,IF(L45="30,001-40,000",4,IF(L45="40,001-50,000",5,IF(L45="more than 50,001 (มากกว่า 50,001)",6,7))))))</f>
        <v>7</v>
      </c>
    </row>
    <row r="46" customFormat="false" ht="19.5" hidden="false" customHeight="true" outlineLevel="0" collapsed="false">
      <c r="A46" s="93" t="str">
        <f aca="false">IF(ISBLANK(Summary!B52),"",Summary!B52)</f>
        <v/>
      </c>
      <c r="B46" s="94" t="str">
        <f aca="false">IF(ISBLANK(Summary!B52),"",Summary!C52)</f>
        <v/>
      </c>
      <c r="C46" s="95" t="str">
        <f aca="false">IF(ISBLANK(Summary!B52),"",Summary!D52)</f>
        <v/>
      </c>
      <c r="D46" s="95" t="str">
        <f aca="false">IF(ISBLANK(Summary!B52),"",Summary!E52)</f>
        <v/>
      </c>
      <c r="E46" s="96" t="str">
        <f aca="false">IF(ISBLANK(Summary!B52),"",IF(TRIM(SUBSTITUTE(B46," ",""))="นาย","ชาย",IF(TRIM(SUBSTITUTE(B46," ",""))="นาง","หญิง",IF(TRIM(SUBSTITUTE(B46," ",""))="นางสาว","หญิง",IF(TRIM(SUBSTITUTE(B46," ",""))="น.ส.","หญิง","ระบุคำนำหน้าใม่ถูก")))))</f>
        <v/>
      </c>
      <c r="F46" s="94" t="str">
        <f aca="false">IF(ISBLANK(Summary!B52),"",Summary!F52)</f>
        <v/>
      </c>
      <c r="G46" s="96" t="str">
        <f aca="false">IF(ISBLANK(Summary!B52),"",IF(Summary!Q52="passed","ผ่าน",IF(Summary!Q52="fail","ไม่ผ่าน","")))</f>
        <v/>
      </c>
      <c r="H46" s="96" t="str">
        <f aca="false">IF(ISBLANK(Summary!B52),"",CONCATENATE(Summary!G52,Summary!H52,Summary!I52,Summary!J52,Summary!K52,N46))</f>
        <v/>
      </c>
      <c r="I46" s="97" t="str">
        <f aca="false">IF(ISBLANK(Summary!B52),"",IF(LEN(A46)=13,IF(RIGHT(11-MOD(MID(A46,1,1)*13+MID(A46,2,1)*12+MID(A46,3,1)*11+MID(A46,4,1)*10+MID(A46,5,1)*9+MID(A46,6,1)*8+MID(A46,7,1)*7+MID(A46,8,1)*6+MID(A46,9,1)*5+MID(A46,10,1)*4+MID(A46,11,1)*3+MID(A46,12,1)*2,11))=RIGHT(A46),"ถูกต้อง","ผิด "),"ไม่ครบ13หลัก"))</f>
        <v/>
      </c>
      <c r="J46" s="102"/>
      <c r="K46" s="102"/>
      <c r="L46" s="99" t="n">
        <f aca="false">Summary!N52</f>
        <v>0</v>
      </c>
      <c r="N46" s="0" t="n">
        <f aca="false">IF(L46="less than 10,000 (น้อยกว่า 10,000)",1,IF(L46="10,001-20,000",2,IF(L46="20,001-30,000",3,IF(L46="30,001-40,000",4,IF(L46="40,001-50,000",5,IF(L46="more than 50,001 (มากกว่า 50,001)",6,7))))))</f>
        <v>7</v>
      </c>
    </row>
    <row r="47" customFormat="false" ht="19.5" hidden="false" customHeight="true" outlineLevel="0" collapsed="false">
      <c r="A47" s="93" t="str">
        <f aca="false">IF(ISBLANK(Summary!B53),"",Summary!B53)</f>
        <v/>
      </c>
      <c r="B47" s="94" t="str">
        <f aca="false">IF(ISBLANK(Summary!B53),"",Summary!C53)</f>
        <v/>
      </c>
      <c r="C47" s="95" t="str">
        <f aca="false">IF(ISBLANK(Summary!B53),"",Summary!D53)</f>
        <v/>
      </c>
      <c r="D47" s="95" t="str">
        <f aca="false">IF(ISBLANK(Summary!B53),"",Summary!E53)</f>
        <v/>
      </c>
      <c r="E47" s="96" t="str">
        <f aca="false">IF(ISBLANK(Summary!B53),"",IF(TRIM(SUBSTITUTE(B47," ",""))="นาย","ชาย",IF(TRIM(SUBSTITUTE(B47," ",""))="นาง","หญิง",IF(TRIM(SUBSTITUTE(B47," ",""))="นางสาว","หญิง",IF(TRIM(SUBSTITUTE(B47," ",""))="น.ส.","หญิง","ระบุคำนำหน้าใม่ถูก")))))</f>
        <v/>
      </c>
      <c r="F47" s="94" t="str">
        <f aca="false">IF(ISBLANK(Summary!B53),"",Summary!F53)</f>
        <v/>
      </c>
      <c r="G47" s="96" t="str">
        <f aca="false">IF(ISBLANK(Summary!B53),"",IF(Summary!Q53="passed","ผ่าน",IF(Summary!Q53="fail","ไม่ผ่าน","")))</f>
        <v/>
      </c>
      <c r="H47" s="96" t="str">
        <f aca="false">IF(ISBLANK(Summary!B53),"",CONCATENATE(Summary!G53,Summary!H53,Summary!I53,Summary!J53,Summary!K53,N47))</f>
        <v/>
      </c>
      <c r="I47" s="97" t="str">
        <f aca="false">IF(ISBLANK(Summary!B53),"",IF(LEN(A47)=13,IF(RIGHT(11-MOD(MID(A47,1,1)*13+MID(A47,2,1)*12+MID(A47,3,1)*11+MID(A47,4,1)*10+MID(A47,5,1)*9+MID(A47,6,1)*8+MID(A47,7,1)*7+MID(A47,8,1)*6+MID(A47,9,1)*5+MID(A47,10,1)*4+MID(A47,11,1)*3+MID(A47,12,1)*2,11))=RIGHT(A47),"ถูกต้อง","ผิด "),"ไม่ครบ13หลัก"))</f>
        <v/>
      </c>
      <c r="J47" s="102"/>
      <c r="K47" s="102"/>
      <c r="L47" s="99" t="n">
        <f aca="false">Summary!N53</f>
        <v>0</v>
      </c>
      <c r="N47" s="0" t="n">
        <f aca="false">IF(L47="less than 10,000 (น้อยกว่า 10,000)",1,IF(L47="10,001-20,000",2,IF(L47="20,001-30,000",3,IF(L47="30,001-40,000",4,IF(L47="40,001-50,000",5,IF(L47="more than 50,001 (มากกว่า 50,001)",6,7))))))</f>
        <v>7</v>
      </c>
    </row>
    <row r="48" customFormat="false" ht="19.5" hidden="false" customHeight="true" outlineLevel="0" collapsed="false">
      <c r="A48" s="93" t="str">
        <f aca="false">IF(ISBLANK(Summary!B54),"",Summary!B54)</f>
        <v/>
      </c>
      <c r="B48" s="94" t="str">
        <f aca="false">IF(ISBLANK(Summary!B54),"",Summary!C54)</f>
        <v/>
      </c>
      <c r="C48" s="95" t="str">
        <f aca="false">IF(ISBLANK(Summary!B54),"",Summary!D54)</f>
        <v/>
      </c>
      <c r="D48" s="95" t="str">
        <f aca="false">IF(ISBLANK(Summary!B54),"",Summary!E54)</f>
        <v/>
      </c>
      <c r="E48" s="96" t="str">
        <f aca="false">IF(ISBLANK(Summary!B54),"",IF(TRIM(SUBSTITUTE(B48," ",""))="นาย","ชาย",IF(TRIM(SUBSTITUTE(B48," ",""))="นาง","หญิง",IF(TRIM(SUBSTITUTE(B48," ",""))="นางสาว","หญิง",IF(TRIM(SUBSTITUTE(B48," ",""))="น.ส.","หญิง","ระบุคำนำหน้าใม่ถูก")))))</f>
        <v/>
      </c>
      <c r="F48" s="94" t="str">
        <f aca="false">IF(ISBLANK(Summary!B54),"",Summary!F54)</f>
        <v/>
      </c>
      <c r="G48" s="96" t="str">
        <f aca="false">IF(ISBLANK(Summary!B54),"",IF(Summary!Q54="passed","ผ่าน",IF(Summary!Q54="fail","ไม่ผ่าน","")))</f>
        <v/>
      </c>
      <c r="H48" s="96" t="str">
        <f aca="false">IF(ISBLANK(Summary!B54),"",CONCATENATE(Summary!G54,Summary!H54,Summary!I54,Summary!J54,Summary!K54,N48))</f>
        <v/>
      </c>
      <c r="I48" s="97" t="str">
        <f aca="false">IF(ISBLANK(Summary!B54),"",IF(LEN(A48)=13,IF(RIGHT(11-MOD(MID(A48,1,1)*13+MID(A48,2,1)*12+MID(A48,3,1)*11+MID(A48,4,1)*10+MID(A48,5,1)*9+MID(A48,6,1)*8+MID(A48,7,1)*7+MID(A48,8,1)*6+MID(A48,9,1)*5+MID(A48,10,1)*4+MID(A48,11,1)*3+MID(A48,12,1)*2,11))=RIGHT(A48),"ถูกต้อง","ผิด "),"ไม่ครบ13หลัก"))</f>
        <v/>
      </c>
      <c r="J48" s="102"/>
      <c r="K48" s="102"/>
      <c r="L48" s="99" t="n">
        <f aca="false">Summary!N54</f>
        <v>0</v>
      </c>
      <c r="N48" s="0" t="n">
        <f aca="false">IF(L48="less than 10,000 (น้อยกว่า 10,000)",1,IF(L48="10,001-20,000",2,IF(L48="20,001-30,000",3,IF(L48="30,001-40,000",4,IF(L48="40,001-50,000",5,IF(L48="more than 50,001 (มากกว่า 50,001)",6,7))))))</f>
        <v>7</v>
      </c>
    </row>
    <row r="49" customFormat="false" ht="19.5" hidden="false" customHeight="true" outlineLevel="0" collapsed="false">
      <c r="A49" s="93" t="str">
        <f aca="false">IF(ISBLANK(Summary!B55),"",Summary!B55)</f>
        <v/>
      </c>
      <c r="B49" s="94" t="str">
        <f aca="false">IF(ISBLANK(Summary!B55),"",Summary!C55)</f>
        <v/>
      </c>
      <c r="C49" s="95" t="str">
        <f aca="false">IF(ISBLANK(Summary!B55),"",Summary!D55)</f>
        <v/>
      </c>
      <c r="D49" s="95" t="str">
        <f aca="false">IF(ISBLANK(Summary!B55),"",Summary!E55)</f>
        <v/>
      </c>
      <c r="E49" s="96" t="str">
        <f aca="false">IF(ISBLANK(Summary!B55),"",IF(TRIM(SUBSTITUTE(B49," ",""))="นาย","ชาย",IF(TRIM(SUBSTITUTE(B49," ",""))="นาง","หญิง",IF(TRIM(SUBSTITUTE(B49," ",""))="นางสาว","หญิง",IF(TRIM(SUBSTITUTE(B49," ",""))="น.ส.","หญิง","ระบุคำนำหน้าใม่ถูก")))))</f>
        <v/>
      </c>
      <c r="F49" s="94" t="str">
        <f aca="false">IF(ISBLANK(Summary!B55),"",Summary!F55)</f>
        <v/>
      </c>
      <c r="G49" s="96" t="str">
        <f aca="false">IF(ISBLANK(Summary!B55),"",IF(Summary!Q55="passed","ผ่าน",IF(Summary!Q55="fail","ไม่ผ่าน","")))</f>
        <v/>
      </c>
      <c r="H49" s="96" t="str">
        <f aca="false">IF(ISBLANK(Summary!B55),"",CONCATENATE(Summary!G55,Summary!H55,Summary!I55,Summary!J55,Summary!K55,N49))</f>
        <v/>
      </c>
      <c r="I49" s="97" t="str">
        <f aca="false">IF(ISBLANK(Summary!B55),"",IF(LEN(A49)=13,IF(RIGHT(11-MOD(MID(A49,1,1)*13+MID(A49,2,1)*12+MID(A49,3,1)*11+MID(A49,4,1)*10+MID(A49,5,1)*9+MID(A49,6,1)*8+MID(A49,7,1)*7+MID(A49,8,1)*6+MID(A49,9,1)*5+MID(A49,10,1)*4+MID(A49,11,1)*3+MID(A49,12,1)*2,11))=RIGHT(A49),"ถูกต้อง","ผิด "),"ไม่ครบ13หลัก"))</f>
        <v/>
      </c>
      <c r="J49" s="102"/>
      <c r="K49" s="102"/>
      <c r="L49" s="99" t="n">
        <f aca="false">Summary!N55</f>
        <v>0</v>
      </c>
      <c r="N49" s="0" t="n">
        <f aca="false">IF(L49="less than 10,000 (น้อยกว่า 10,000)",1,IF(L49="10,001-20,000",2,IF(L49="20,001-30,000",3,IF(L49="30,001-40,000",4,IF(L49="40,001-50,000",5,IF(L49="more than 50,001 (มากกว่า 50,001)",6,7))))))</f>
        <v>7</v>
      </c>
    </row>
    <row r="50" customFormat="false" ht="19.5" hidden="false" customHeight="true" outlineLevel="0" collapsed="false">
      <c r="A50" s="93" t="str">
        <f aca="false">IF(ISBLANK(Summary!B56),"",Summary!B56)</f>
        <v/>
      </c>
      <c r="B50" s="94" t="str">
        <f aca="false">IF(ISBLANK(Summary!B56),"",Summary!C56)</f>
        <v/>
      </c>
      <c r="C50" s="95" t="str">
        <f aca="false">IF(ISBLANK(Summary!B56),"",Summary!D56)</f>
        <v/>
      </c>
      <c r="D50" s="95" t="str">
        <f aca="false">IF(ISBLANK(Summary!B56),"",Summary!E56)</f>
        <v/>
      </c>
      <c r="E50" s="96" t="str">
        <f aca="false">IF(ISBLANK(Summary!B56),"",IF(TRIM(SUBSTITUTE(B50," ",""))="นาย","ชาย",IF(TRIM(SUBSTITUTE(B50," ",""))="นาง","หญิง",IF(TRIM(SUBSTITUTE(B50," ",""))="นางสาว","หญิง",IF(TRIM(SUBSTITUTE(B50," ",""))="น.ส.","หญิง","ระบุคำนำหน้าใม่ถูก")))))</f>
        <v/>
      </c>
      <c r="F50" s="94" t="str">
        <f aca="false">IF(ISBLANK(Summary!B56),"",Summary!F56)</f>
        <v/>
      </c>
      <c r="G50" s="96" t="str">
        <f aca="false">IF(ISBLANK(Summary!B56),"",IF(Summary!Q56="passed","ผ่าน",IF(Summary!Q56="fail","ไม่ผ่าน","")))</f>
        <v/>
      </c>
      <c r="H50" s="96" t="str">
        <f aca="false">IF(ISBLANK(Summary!B56),"",CONCATENATE(Summary!G56,Summary!H56,Summary!I56,Summary!J56,Summary!K56,N50))</f>
        <v/>
      </c>
      <c r="I50" s="97" t="str">
        <f aca="false">IF(ISBLANK(Summary!B56),"",IF(LEN(A50)=13,IF(RIGHT(11-MOD(MID(A50,1,1)*13+MID(A50,2,1)*12+MID(A50,3,1)*11+MID(A50,4,1)*10+MID(A50,5,1)*9+MID(A50,6,1)*8+MID(A50,7,1)*7+MID(A50,8,1)*6+MID(A50,9,1)*5+MID(A50,10,1)*4+MID(A50,11,1)*3+MID(A50,12,1)*2,11))=RIGHT(A50),"ถูกต้อง","ผิด "),"ไม่ครบ13หลัก"))</f>
        <v/>
      </c>
      <c r="J50" s="102"/>
      <c r="K50" s="102"/>
      <c r="L50" s="99" t="n">
        <f aca="false">Summary!N56</f>
        <v>0</v>
      </c>
      <c r="N50" s="0" t="n">
        <f aca="false">IF(L50="less than 10,000 (น้อยกว่า 10,000)",1,IF(L50="10,001-20,000",2,IF(L50="20,001-30,000",3,IF(L50="30,001-40,000",4,IF(L50="40,001-50,000",5,IF(L50="more than 50,001 (มากกว่า 50,001)",6,7))))))</f>
        <v>7</v>
      </c>
    </row>
    <row r="51" customFormat="false" ht="19.5" hidden="false" customHeight="true" outlineLevel="0" collapsed="false">
      <c r="A51" s="93" t="str">
        <f aca="false">IF(ISBLANK(Summary!B57),"",Summary!B57)</f>
        <v/>
      </c>
      <c r="B51" s="94" t="str">
        <f aca="false">IF(ISBLANK(Summary!B57),"",Summary!C57)</f>
        <v/>
      </c>
      <c r="C51" s="95" t="str">
        <f aca="false">IF(ISBLANK(Summary!B57),"",Summary!D57)</f>
        <v/>
      </c>
      <c r="D51" s="95" t="str">
        <f aca="false">IF(ISBLANK(Summary!B57),"",Summary!E57)</f>
        <v/>
      </c>
      <c r="E51" s="96" t="str">
        <f aca="false">IF(ISBLANK(Summary!B57),"",IF(TRIM(SUBSTITUTE(B51," ",""))="นาย","ชาย",IF(TRIM(SUBSTITUTE(B51," ",""))="นาง","หญิง",IF(TRIM(SUBSTITUTE(B51," ",""))="นางสาว","หญิง",IF(TRIM(SUBSTITUTE(B51," ",""))="น.ส.","หญิง","ระบุคำนำหน้าใม่ถูก")))))</f>
        <v/>
      </c>
      <c r="F51" s="94" t="str">
        <f aca="false">IF(ISBLANK(Summary!B57),"",Summary!F57)</f>
        <v/>
      </c>
      <c r="G51" s="96" t="str">
        <f aca="false">IF(ISBLANK(Summary!B57),"",IF(Summary!Q57="passed","ผ่าน",IF(Summary!Q57="fail","ไม่ผ่าน","")))</f>
        <v/>
      </c>
      <c r="H51" s="96" t="str">
        <f aca="false">IF(ISBLANK(Summary!B57),"",CONCATENATE(Summary!G57,Summary!H57,Summary!I57,Summary!J57,Summary!K57,N51))</f>
        <v/>
      </c>
      <c r="I51" s="97" t="str">
        <f aca="false">IF(ISBLANK(Summary!B57),"",IF(LEN(A51)=13,IF(RIGHT(11-MOD(MID(A51,1,1)*13+MID(A51,2,1)*12+MID(A51,3,1)*11+MID(A51,4,1)*10+MID(A51,5,1)*9+MID(A51,6,1)*8+MID(A51,7,1)*7+MID(A51,8,1)*6+MID(A51,9,1)*5+MID(A51,10,1)*4+MID(A51,11,1)*3+MID(A51,12,1)*2,11))=RIGHT(A51),"ถูกต้อง","ผิด "),"ไม่ครบ13หลัก"))</f>
        <v/>
      </c>
      <c r="J51" s="102"/>
      <c r="K51" s="102"/>
      <c r="L51" s="99" t="n">
        <f aca="false">Summary!N57</f>
        <v>0</v>
      </c>
      <c r="N51" s="0" t="n">
        <f aca="false">IF(L51="less than 10,000 (น้อยกว่า 10,000)",1,IF(L51="10,001-20,000",2,IF(L51="20,001-30,000",3,IF(L51="30,001-40,000",4,IF(L51="40,001-50,000",5,IF(L51="more than 50,001 (มากกว่า 50,001)",6,7))))))</f>
        <v>7</v>
      </c>
    </row>
    <row r="52" customFormat="false" ht="19.5" hidden="false" customHeight="true" outlineLevel="0" collapsed="false">
      <c r="A52" s="93" t="str">
        <f aca="false">IF(ISBLANK(Summary!B58),"",Summary!B58)</f>
        <v/>
      </c>
      <c r="B52" s="94" t="str">
        <f aca="false">IF(ISBLANK(Summary!B58),"",Summary!C58)</f>
        <v/>
      </c>
      <c r="C52" s="95" t="str">
        <f aca="false">IF(ISBLANK(Summary!B58),"",Summary!D58)</f>
        <v/>
      </c>
      <c r="D52" s="95" t="str">
        <f aca="false">IF(ISBLANK(Summary!B58),"",Summary!E58)</f>
        <v/>
      </c>
      <c r="E52" s="96" t="str">
        <f aca="false">IF(ISBLANK(Summary!B58),"",IF(TRIM(SUBSTITUTE(B52," ",""))="นาย","ชาย",IF(TRIM(SUBSTITUTE(B52," ",""))="นาง","หญิง",IF(TRIM(SUBSTITUTE(B52," ",""))="นางสาว","หญิง",IF(TRIM(SUBSTITUTE(B52," ",""))="น.ส.","หญิง","ระบุคำนำหน้าใม่ถูก")))))</f>
        <v/>
      </c>
      <c r="F52" s="94" t="str">
        <f aca="false">IF(ISBLANK(Summary!B58),"",Summary!F58)</f>
        <v/>
      </c>
      <c r="G52" s="96" t="str">
        <f aca="false">IF(ISBLANK(Summary!B58),"",IF(Summary!Q58="passed","ผ่าน",IF(Summary!Q58="fail","ไม่ผ่าน","")))</f>
        <v/>
      </c>
      <c r="H52" s="96" t="str">
        <f aca="false">IF(ISBLANK(Summary!B58),"",CONCATENATE(Summary!G58,Summary!H58,Summary!I58,Summary!J58,Summary!K58,N52))</f>
        <v/>
      </c>
      <c r="I52" s="97" t="str">
        <f aca="false">IF(ISBLANK(Summary!B58),"",IF(LEN(A52)=13,IF(RIGHT(11-MOD(MID(A52,1,1)*13+MID(A52,2,1)*12+MID(A52,3,1)*11+MID(A52,4,1)*10+MID(A52,5,1)*9+MID(A52,6,1)*8+MID(A52,7,1)*7+MID(A52,8,1)*6+MID(A52,9,1)*5+MID(A52,10,1)*4+MID(A52,11,1)*3+MID(A52,12,1)*2,11))=RIGHT(A52),"ถูกต้อง","ผิด "),"ไม่ครบ13หลัก"))</f>
        <v/>
      </c>
      <c r="J52" s="102"/>
      <c r="K52" s="102"/>
      <c r="L52" s="99" t="n">
        <f aca="false">Summary!N58</f>
        <v>0</v>
      </c>
      <c r="N52" s="0" t="n">
        <f aca="false">IF(L52="less than 10,000 (น้อยกว่า 10,000)",1,IF(L52="10,001-20,000",2,IF(L52="20,001-30,000",3,IF(L52="30,001-40,000",4,IF(L52="40,001-50,000",5,IF(L52="more than 50,001 (มากกว่า 50,001)",6,7))))))</f>
        <v>7</v>
      </c>
    </row>
    <row r="53" customFormat="false" ht="19.5" hidden="false" customHeight="true" outlineLevel="0" collapsed="false">
      <c r="A53" s="93" t="str">
        <f aca="false">IF(ISBLANK(Summary!B59),"",Summary!B59)</f>
        <v/>
      </c>
      <c r="B53" s="94" t="str">
        <f aca="false">IF(ISBLANK(Summary!B59),"",Summary!C59)</f>
        <v/>
      </c>
      <c r="C53" s="95" t="str">
        <f aca="false">IF(ISBLANK(Summary!B59),"",Summary!D59)</f>
        <v/>
      </c>
      <c r="D53" s="95" t="str">
        <f aca="false">IF(ISBLANK(Summary!B59),"",Summary!E59)</f>
        <v/>
      </c>
      <c r="E53" s="96" t="str">
        <f aca="false">IF(ISBLANK(Summary!B59),"",IF(TRIM(SUBSTITUTE(B53," ",""))="นาย","ชาย",IF(TRIM(SUBSTITUTE(B53," ",""))="นาง","หญิง",IF(TRIM(SUBSTITUTE(B53," ",""))="นางสาว","หญิง",IF(TRIM(SUBSTITUTE(B53," ",""))="น.ส.","หญิง","ระบุคำนำหน้าใม่ถูก")))))</f>
        <v/>
      </c>
      <c r="F53" s="94" t="str">
        <f aca="false">IF(ISBLANK(Summary!B59),"",Summary!F59)</f>
        <v/>
      </c>
      <c r="G53" s="96" t="str">
        <f aca="false">IF(ISBLANK(Summary!B59),"",IF(Summary!Q59="passed","ผ่าน",IF(Summary!Q59="fail","ไม่ผ่าน","")))</f>
        <v/>
      </c>
      <c r="H53" s="96" t="str">
        <f aca="false">IF(ISBLANK(Summary!B59),"",CONCATENATE(Summary!G59,Summary!H59,Summary!I59,Summary!J59,Summary!K59,N53))</f>
        <v/>
      </c>
      <c r="I53" s="97" t="str">
        <f aca="false">IF(ISBLANK(Summary!B59),"",IF(LEN(A53)=13,IF(RIGHT(11-MOD(MID(A53,1,1)*13+MID(A53,2,1)*12+MID(A53,3,1)*11+MID(A53,4,1)*10+MID(A53,5,1)*9+MID(A53,6,1)*8+MID(A53,7,1)*7+MID(A53,8,1)*6+MID(A53,9,1)*5+MID(A53,10,1)*4+MID(A53,11,1)*3+MID(A53,12,1)*2,11))=RIGHT(A53),"ถูกต้อง","ผิด "),"ไม่ครบ13หลัก"))</f>
        <v/>
      </c>
      <c r="J53" s="102"/>
      <c r="K53" s="102"/>
      <c r="L53" s="99" t="n">
        <f aca="false">Summary!N59</f>
        <v>0</v>
      </c>
      <c r="N53" s="0" t="n">
        <f aca="false">IF(L53="less than 10,000 (น้อยกว่า 10,000)",1,IF(L53="10,001-20,000",2,IF(L53="20,001-30,000",3,IF(L53="30,001-40,000",4,IF(L53="40,001-50,000",5,IF(L53="more than 50,001 (มากกว่า 50,001)",6,7))))))</f>
        <v>7</v>
      </c>
    </row>
    <row r="54" customFormat="false" ht="19.5" hidden="false" customHeight="true" outlineLevel="0" collapsed="false">
      <c r="A54" s="93" t="str">
        <f aca="false">IF(ISBLANK(Summary!B60),"",Summary!B60)</f>
        <v/>
      </c>
      <c r="B54" s="94" t="str">
        <f aca="false">IF(ISBLANK(Summary!B60),"",Summary!C60)</f>
        <v/>
      </c>
      <c r="C54" s="95" t="str">
        <f aca="false">IF(ISBLANK(Summary!B60),"",Summary!D60)</f>
        <v/>
      </c>
      <c r="D54" s="95" t="str">
        <f aca="false">IF(ISBLANK(Summary!B60),"",Summary!E60)</f>
        <v/>
      </c>
      <c r="E54" s="96" t="str">
        <f aca="false">IF(ISBLANK(Summary!B60),"",IF(TRIM(SUBSTITUTE(B54," ",""))="นาย","ชาย",IF(TRIM(SUBSTITUTE(B54," ",""))="นาง","หญิง",IF(TRIM(SUBSTITUTE(B54," ",""))="นางสาว","หญิง",IF(TRIM(SUBSTITUTE(B54," ",""))="น.ส.","หญิง","ระบุคำนำหน้าใม่ถูก")))))</f>
        <v/>
      </c>
      <c r="F54" s="94" t="str">
        <f aca="false">IF(ISBLANK(Summary!B60),"",Summary!F60)</f>
        <v/>
      </c>
      <c r="G54" s="96" t="str">
        <f aca="false">IF(ISBLANK(Summary!B60),"",IF(Summary!Q60="passed","ผ่าน",IF(Summary!Q60="fail","ไม่ผ่าน","")))</f>
        <v/>
      </c>
      <c r="H54" s="96" t="str">
        <f aca="false">IF(ISBLANK(Summary!B60),"",CONCATENATE(Summary!G60,Summary!H60,Summary!I60,Summary!J60,Summary!K60,N54))</f>
        <v/>
      </c>
      <c r="I54" s="97" t="str">
        <f aca="false">IF(ISBLANK(Summary!B60),"",IF(LEN(A54)=13,IF(RIGHT(11-MOD(MID(A54,1,1)*13+MID(A54,2,1)*12+MID(A54,3,1)*11+MID(A54,4,1)*10+MID(A54,5,1)*9+MID(A54,6,1)*8+MID(A54,7,1)*7+MID(A54,8,1)*6+MID(A54,9,1)*5+MID(A54,10,1)*4+MID(A54,11,1)*3+MID(A54,12,1)*2,11))=RIGHT(A54),"ถูกต้อง","ผิด "),"ไม่ครบ13หลัก"))</f>
        <v/>
      </c>
      <c r="J54" s="102"/>
      <c r="K54" s="102"/>
      <c r="L54" s="99" t="n">
        <f aca="false">Summary!N60</f>
        <v>0</v>
      </c>
      <c r="N54" s="0" t="n">
        <f aca="false">IF(L54="less than 10,000 (น้อยกว่า 10,000)",1,IF(L54="10,001-20,000",2,IF(L54="20,001-30,000",3,IF(L54="30,001-40,000",4,IF(L54="40,001-50,000",5,IF(L54="more than 50,001 (มากกว่า 50,001)",6,7))))))</f>
        <v>7</v>
      </c>
    </row>
    <row r="55" customFormat="false" ht="19.5" hidden="false" customHeight="true" outlineLevel="0" collapsed="false">
      <c r="A55" s="93" t="str">
        <f aca="false">IF(ISBLANK(Summary!B61),"",Summary!B61)</f>
        <v/>
      </c>
      <c r="B55" s="94" t="str">
        <f aca="false">IF(ISBLANK(Summary!B61),"",Summary!C61)</f>
        <v/>
      </c>
      <c r="C55" s="95" t="str">
        <f aca="false">IF(ISBLANK(Summary!B61),"",Summary!D61)</f>
        <v/>
      </c>
      <c r="D55" s="95" t="str">
        <f aca="false">IF(ISBLANK(Summary!B61),"",Summary!E61)</f>
        <v/>
      </c>
      <c r="E55" s="96" t="str">
        <f aca="false">IF(ISBLANK(Summary!B61),"",IF(TRIM(SUBSTITUTE(B55," ",""))="นาย","ชาย",IF(TRIM(SUBSTITUTE(B55," ",""))="นาง","หญิง",IF(TRIM(SUBSTITUTE(B55," ",""))="นางสาว","หญิง",IF(TRIM(SUBSTITUTE(B55," ",""))="น.ส.","หญิง","ระบุคำนำหน้าใม่ถูก")))))</f>
        <v/>
      </c>
      <c r="F55" s="94" t="str">
        <f aca="false">IF(ISBLANK(Summary!B61),"",Summary!F61)</f>
        <v/>
      </c>
      <c r="G55" s="96" t="str">
        <f aca="false">IF(ISBLANK(Summary!B61),"",IF(Summary!Q61="passed","ผ่าน",IF(Summary!Q61="fail","ไม่ผ่าน","")))</f>
        <v/>
      </c>
      <c r="H55" s="96" t="str">
        <f aca="false">IF(ISBLANK(Summary!B61),"",CONCATENATE(Summary!G61,Summary!H61,Summary!I61,Summary!J61,Summary!K61,N55))</f>
        <v/>
      </c>
      <c r="I55" s="97" t="str">
        <f aca="false">IF(ISBLANK(Summary!B61),"",IF(LEN(A55)=13,IF(RIGHT(11-MOD(MID(A55,1,1)*13+MID(A55,2,1)*12+MID(A55,3,1)*11+MID(A55,4,1)*10+MID(A55,5,1)*9+MID(A55,6,1)*8+MID(A55,7,1)*7+MID(A55,8,1)*6+MID(A55,9,1)*5+MID(A55,10,1)*4+MID(A55,11,1)*3+MID(A55,12,1)*2,11))=RIGHT(A55),"ถูกต้อง","ผิด "),"ไม่ครบ13หลัก"))</f>
        <v/>
      </c>
      <c r="J55" s="102"/>
      <c r="K55" s="102"/>
      <c r="L55" s="99" t="n">
        <f aca="false">Summary!N61</f>
        <v>0</v>
      </c>
      <c r="N55" s="0" t="n">
        <f aca="false">IF(L55="less than 10,000 (น้อยกว่า 10,000)",1,IF(L55="10,001-20,000",2,IF(L55="20,001-30,000",3,IF(L55="30,001-40,000",4,IF(L55="40,001-50,000",5,IF(L55="more than 50,001 (มากกว่า 50,001)",6,7))))))</f>
        <v>7</v>
      </c>
    </row>
    <row r="56" customFormat="false" ht="19.5" hidden="false" customHeight="true" outlineLevel="0" collapsed="false">
      <c r="A56" s="93" t="str">
        <f aca="false">IF(ISBLANK(Summary!B62),"",Summary!B62)</f>
        <v/>
      </c>
      <c r="B56" s="94" t="str">
        <f aca="false">IF(ISBLANK(Summary!B62),"",Summary!C62)</f>
        <v/>
      </c>
      <c r="C56" s="95" t="str">
        <f aca="false">IF(ISBLANK(Summary!B62),"",Summary!D62)</f>
        <v/>
      </c>
      <c r="D56" s="95" t="str">
        <f aca="false">IF(ISBLANK(Summary!B62),"",Summary!E62)</f>
        <v/>
      </c>
      <c r="E56" s="96" t="str">
        <f aca="false">IF(ISBLANK(Summary!B62),"",IF(TRIM(SUBSTITUTE(B56," ",""))="นาย","ชาย",IF(TRIM(SUBSTITUTE(B56," ",""))="นาง","หญิง",IF(TRIM(SUBSTITUTE(B56," ",""))="นางสาว","หญิง",IF(TRIM(SUBSTITUTE(B56," ",""))="น.ส.","หญิง","ระบุคำนำหน้าใม่ถูก")))))</f>
        <v/>
      </c>
      <c r="F56" s="94" t="str">
        <f aca="false">IF(ISBLANK(Summary!B62),"",Summary!F62)</f>
        <v/>
      </c>
      <c r="G56" s="96" t="str">
        <f aca="false">IF(ISBLANK(Summary!B62),"",IF(Summary!Q62="passed","ผ่าน",IF(Summary!Q62="fail","ไม่ผ่าน","")))</f>
        <v/>
      </c>
      <c r="H56" s="96" t="str">
        <f aca="false">IF(ISBLANK(Summary!B62),"",CONCATENATE(Summary!G62,Summary!H62,Summary!I62,Summary!J62,Summary!K62,N56))</f>
        <v/>
      </c>
      <c r="I56" s="97" t="str">
        <f aca="false">IF(ISBLANK(Summary!B62),"",IF(LEN(A56)=13,IF(RIGHT(11-MOD(MID(A56,1,1)*13+MID(A56,2,1)*12+MID(A56,3,1)*11+MID(A56,4,1)*10+MID(A56,5,1)*9+MID(A56,6,1)*8+MID(A56,7,1)*7+MID(A56,8,1)*6+MID(A56,9,1)*5+MID(A56,10,1)*4+MID(A56,11,1)*3+MID(A56,12,1)*2,11))=RIGHT(A56),"ถูกต้อง","ผิด "),"ไม่ครบ13หลัก"))</f>
        <v/>
      </c>
      <c r="J56" s="102"/>
      <c r="K56" s="102"/>
      <c r="L56" s="99" t="n">
        <f aca="false">Summary!N62</f>
        <v>0</v>
      </c>
      <c r="N56" s="0" t="n">
        <f aca="false">IF(L56="less than 10,000 (น้อยกว่า 10,000)",1,IF(L56="10,001-20,000",2,IF(L56="20,001-30,000",3,IF(L56="30,001-40,000",4,IF(L56="40,001-50,000",5,IF(L56="more than 50,001 (มากกว่า 50,001)",6,7))))))</f>
        <v>7</v>
      </c>
    </row>
    <row r="57" customFormat="false" ht="19.5" hidden="false" customHeight="true" outlineLevel="0" collapsed="false">
      <c r="A57" s="93" t="str">
        <f aca="false">IF(ISBLANK(Summary!B63),"",Summary!B63)</f>
        <v/>
      </c>
      <c r="B57" s="94" t="str">
        <f aca="false">IF(ISBLANK(Summary!B63),"",Summary!C63)</f>
        <v/>
      </c>
      <c r="C57" s="95" t="str">
        <f aca="false">IF(ISBLANK(Summary!B63),"",Summary!D63)</f>
        <v/>
      </c>
      <c r="D57" s="95" t="str">
        <f aca="false">IF(ISBLANK(Summary!B63),"",Summary!E63)</f>
        <v/>
      </c>
      <c r="E57" s="96" t="str">
        <f aca="false">IF(ISBLANK(Summary!B63),"",IF(TRIM(SUBSTITUTE(B57," ",""))="นาย","ชาย",IF(TRIM(SUBSTITUTE(B57," ",""))="นาง","หญิง",IF(TRIM(SUBSTITUTE(B57," ",""))="นางสาว","หญิง",IF(TRIM(SUBSTITUTE(B57," ",""))="น.ส.","หญิง","ระบุคำนำหน้าใม่ถูก")))))</f>
        <v/>
      </c>
      <c r="F57" s="94" t="str">
        <f aca="false">IF(ISBLANK(Summary!B63),"",Summary!F63)</f>
        <v/>
      </c>
      <c r="G57" s="96" t="str">
        <f aca="false">IF(ISBLANK(Summary!B63),"",IF(Summary!Q63="passed","ผ่าน",IF(Summary!Q63="fail","ไม่ผ่าน","")))</f>
        <v/>
      </c>
      <c r="H57" s="96" t="str">
        <f aca="false">IF(ISBLANK(Summary!B63),"",CONCATENATE(Summary!G63,Summary!H63,Summary!I63,Summary!J63,Summary!K63,N57))</f>
        <v/>
      </c>
      <c r="I57" s="97" t="str">
        <f aca="false">IF(ISBLANK(Summary!B63),"",IF(LEN(A57)=13,IF(RIGHT(11-MOD(MID(A57,1,1)*13+MID(A57,2,1)*12+MID(A57,3,1)*11+MID(A57,4,1)*10+MID(A57,5,1)*9+MID(A57,6,1)*8+MID(A57,7,1)*7+MID(A57,8,1)*6+MID(A57,9,1)*5+MID(A57,10,1)*4+MID(A57,11,1)*3+MID(A57,12,1)*2,11))=RIGHT(A57),"ถูกต้อง","ผิด "),"ไม่ครบ13หลัก"))</f>
        <v/>
      </c>
      <c r="J57" s="102"/>
      <c r="K57" s="102"/>
      <c r="L57" s="99" t="n">
        <f aca="false">Summary!N63</f>
        <v>0</v>
      </c>
      <c r="N57" s="0" t="n">
        <f aca="false">IF(L57="less than 10,000 (น้อยกว่า 10,000)",1,IF(L57="10,001-20,000",2,IF(L57="20,001-30,000",3,IF(L57="30,001-40,000",4,IF(L57="40,001-50,000",5,IF(L57="more than 50,001 (มากกว่า 50,001)",6,7))))))</f>
        <v>7</v>
      </c>
    </row>
    <row r="58" customFormat="false" ht="19.5" hidden="false" customHeight="true" outlineLevel="0" collapsed="false">
      <c r="A58" s="93" t="str">
        <f aca="false">IF(ISBLANK(Summary!B64),"",Summary!B64)</f>
        <v/>
      </c>
      <c r="B58" s="94" t="str">
        <f aca="false">IF(ISBLANK(Summary!B64),"",Summary!C64)</f>
        <v/>
      </c>
      <c r="C58" s="95" t="str">
        <f aca="false">IF(ISBLANK(Summary!B64),"",Summary!D64)</f>
        <v/>
      </c>
      <c r="D58" s="95" t="str">
        <f aca="false">IF(ISBLANK(Summary!B64),"",Summary!E64)</f>
        <v/>
      </c>
      <c r="E58" s="96" t="str">
        <f aca="false">IF(ISBLANK(Summary!B64),"",IF(TRIM(SUBSTITUTE(B58," ",""))="นาย","ชาย",IF(TRIM(SUBSTITUTE(B58," ",""))="นาง","หญิง",IF(TRIM(SUBSTITUTE(B58," ",""))="นางสาว","หญิง",IF(TRIM(SUBSTITUTE(B58," ",""))="น.ส.","หญิง","ระบุคำนำหน้าใม่ถูก")))))</f>
        <v/>
      </c>
      <c r="F58" s="94" t="str">
        <f aca="false">IF(ISBLANK(Summary!B64),"",Summary!F64)</f>
        <v/>
      </c>
      <c r="G58" s="96" t="str">
        <f aca="false">IF(ISBLANK(Summary!B64),"",IF(Summary!Q64="passed","ผ่าน",IF(Summary!Q64="fail","ไม่ผ่าน","")))</f>
        <v/>
      </c>
      <c r="H58" s="96" t="str">
        <f aca="false">IF(ISBLANK(Summary!B64),"",CONCATENATE(Summary!G64,Summary!H64,Summary!I64,Summary!J64,Summary!K64,N58))</f>
        <v/>
      </c>
      <c r="I58" s="97" t="str">
        <f aca="false">IF(ISBLANK(Summary!B64),"",IF(LEN(A58)=13,IF(RIGHT(11-MOD(MID(A58,1,1)*13+MID(A58,2,1)*12+MID(A58,3,1)*11+MID(A58,4,1)*10+MID(A58,5,1)*9+MID(A58,6,1)*8+MID(A58,7,1)*7+MID(A58,8,1)*6+MID(A58,9,1)*5+MID(A58,10,1)*4+MID(A58,11,1)*3+MID(A58,12,1)*2,11))=RIGHT(A58),"ถูกต้อง","ผิด "),"ไม่ครบ13หลัก"))</f>
        <v/>
      </c>
      <c r="J58" s="102"/>
      <c r="K58" s="102"/>
      <c r="L58" s="99" t="n">
        <f aca="false">Summary!N64</f>
        <v>0</v>
      </c>
      <c r="N58" s="0" t="n">
        <f aca="false">IF(L58="less than 10,000 (น้อยกว่า 10,000)",1,IF(L58="10,001-20,000",2,IF(L58="20,001-30,000",3,IF(L58="30,001-40,000",4,IF(L58="40,001-50,000",5,IF(L58="more than 50,001 (มากกว่า 50,001)",6,7))))))</f>
        <v>7</v>
      </c>
    </row>
    <row r="59" customFormat="false" ht="19.5" hidden="false" customHeight="true" outlineLevel="0" collapsed="false">
      <c r="A59" s="93" t="str">
        <f aca="false">IF(ISBLANK(Summary!B65),"",Summary!B65)</f>
        <v/>
      </c>
      <c r="B59" s="94" t="str">
        <f aca="false">IF(ISBLANK(Summary!B65),"",Summary!C65)</f>
        <v/>
      </c>
      <c r="C59" s="95" t="str">
        <f aca="false">IF(ISBLANK(Summary!B65),"",Summary!D65)</f>
        <v/>
      </c>
      <c r="D59" s="95" t="str">
        <f aca="false">IF(ISBLANK(Summary!B65),"",Summary!E65)</f>
        <v/>
      </c>
      <c r="E59" s="96" t="str">
        <f aca="false">IF(ISBLANK(Summary!B65),"",IF(TRIM(SUBSTITUTE(B59," ",""))="นาย","ชาย",IF(TRIM(SUBSTITUTE(B59," ",""))="นาง","หญิง",IF(TRIM(SUBSTITUTE(B59," ",""))="นางสาว","หญิง",IF(TRIM(SUBSTITUTE(B59," ",""))="น.ส.","หญิง","ระบุคำนำหน้าใม่ถูก")))))</f>
        <v/>
      </c>
      <c r="F59" s="94" t="str">
        <f aca="false">IF(ISBLANK(Summary!B65),"",Summary!F65)</f>
        <v/>
      </c>
      <c r="G59" s="96" t="str">
        <f aca="false">IF(ISBLANK(Summary!B65),"",IF(Summary!Q65="passed","ผ่าน",IF(Summary!Q65="fail","ไม่ผ่าน","")))</f>
        <v/>
      </c>
      <c r="H59" s="96" t="str">
        <f aca="false">IF(ISBLANK(Summary!B65),"",CONCATENATE(Summary!G65,Summary!H65,Summary!I65,Summary!J65,Summary!K65,N59))</f>
        <v/>
      </c>
      <c r="I59" s="97" t="str">
        <f aca="false">IF(ISBLANK(Summary!B65),"",IF(LEN(A59)=13,IF(RIGHT(11-MOD(MID(A59,1,1)*13+MID(A59,2,1)*12+MID(A59,3,1)*11+MID(A59,4,1)*10+MID(A59,5,1)*9+MID(A59,6,1)*8+MID(A59,7,1)*7+MID(A59,8,1)*6+MID(A59,9,1)*5+MID(A59,10,1)*4+MID(A59,11,1)*3+MID(A59,12,1)*2,11))=RIGHT(A59),"ถูกต้อง","ผิด "),"ไม่ครบ13หลัก"))</f>
        <v/>
      </c>
      <c r="J59" s="102"/>
      <c r="K59" s="102"/>
      <c r="L59" s="99" t="n">
        <f aca="false">Summary!N65</f>
        <v>0</v>
      </c>
      <c r="N59" s="0" t="n">
        <f aca="false">IF(L59="less than 10,000 (น้อยกว่า 10,000)",1,IF(L59="10,001-20,000",2,IF(L59="20,001-30,000",3,IF(L59="30,001-40,000",4,IF(L59="40,001-50,000",5,IF(L59="more than 50,001 (มากกว่า 50,001)",6,7))))))</f>
        <v>7</v>
      </c>
    </row>
    <row r="60" customFormat="false" ht="19.5" hidden="false" customHeight="true" outlineLevel="0" collapsed="false">
      <c r="A60" s="93" t="str">
        <f aca="false">IF(ISBLANK(Summary!B66),"",Summary!B66)</f>
        <v/>
      </c>
      <c r="B60" s="94" t="str">
        <f aca="false">IF(ISBLANK(Summary!B66),"",Summary!C66)</f>
        <v/>
      </c>
      <c r="C60" s="95" t="str">
        <f aca="false">IF(ISBLANK(Summary!B66),"",Summary!D66)</f>
        <v/>
      </c>
      <c r="D60" s="95" t="str">
        <f aca="false">IF(ISBLANK(Summary!B66),"",Summary!E66)</f>
        <v/>
      </c>
      <c r="E60" s="96" t="str">
        <f aca="false">IF(ISBLANK(Summary!B66),"",IF(TRIM(SUBSTITUTE(B60," ",""))="นาย","ชาย",IF(TRIM(SUBSTITUTE(B60," ",""))="นาง","หญิง",IF(TRIM(SUBSTITUTE(B60," ",""))="นางสาว","หญิง",IF(TRIM(SUBSTITUTE(B60," ",""))="น.ส.","หญิง","ระบุคำนำหน้าใม่ถูก")))))</f>
        <v/>
      </c>
      <c r="F60" s="94" t="str">
        <f aca="false">IF(ISBLANK(Summary!B66),"",Summary!F66)</f>
        <v/>
      </c>
      <c r="G60" s="96" t="str">
        <f aca="false">IF(ISBLANK(Summary!B66),"",IF(Summary!Q66="passed","ผ่าน",IF(Summary!Q66="fail","ไม่ผ่าน","")))</f>
        <v/>
      </c>
      <c r="H60" s="96" t="str">
        <f aca="false">IF(ISBLANK(Summary!B66),"",CONCATENATE(Summary!G66,Summary!H66,Summary!I66,Summary!J66,Summary!K66,N60))</f>
        <v/>
      </c>
      <c r="I60" s="97" t="str">
        <f aca="false">IF(ISBLANK(Summary!B66),"",IF(LEN(A60)=13,IF(RIGHT(11-MOD(MID(A60,1,1)*13+MID(A60,2,1)*12+MID(A60,3,1)*11+MID(A60,4,1)*10+MID(A60,5,1)*9+MID(A60,6,1)*8+MID(A60,7,1)*7+MID(A60,8,1)*6+MID(A60,9,1)*5+MID(A60,10,1)*4+MID(A60,11,1)*3+MID(A60,12,1)*2,11))=RIGHT(A60),"ถูกต้อง","ผิด "),"ไม่ครบ13หลัก"))</f>
        <v/>
      </c>
      <c r="J60" s="102"/>
      <c r="K60" s="102"/>
      <c r="L60" s="99" t="n">
        <f aca="false">Summary!N66</f>
        <v>0</v>
      </c>
      <c r="N60" s="0" t="n">
        <f aca="false">IF(L60="less than 10,000 (น้อยกว่า 10,000)",1,IF(L60="10,001-20,000",2,IF(L60="20,001-30,000",3,IF(L60="30,001-40,000",4,IF(L60="40,001-50,000",5,IF(L60="more than 50,001 (มากกว่า 50,001)",6,7))))))</f>
        <v>7</v>
      </c>
    </row>
    <row r="61" customFormat="false" ht="19.5" hidden="false" customHeight="true" outlineLevel="0" collapsed="false">
      <c r="A61" s="93" t="str">
        <f aca="false">IF(ISBLANK(Summary!B67),"",Summary!B67)</f>
        <v/>
      </c>
      <c r="B61" s="94" t="str">
        <f aca="false">IF(ISBLANK(Summary!B67),"",Summary!C67)</f>
        <v/>
      </c>
      <c r="C61" s="95" t="str">
        <f aca="false">IF(ISBLANK(Summary!B67),"",Summary!D67)</f>
        <v/>
      </c>
      <c r="D61" s="95" t="str">
        <f aca="false">IF(ISBLANK(Summary!B67),"",Summary!E67)</f>
        <v/>
      </c>
      <c r="E61" s="96" t="str">
        <f aca="false">IF(ISBLANK(Summary!B67),"",IF(TRIM(SUBSTITUTE(B61," ",""))="นาย","ชาย",IF(TRIM(SUBSTITUTE(B61," ",""))="นาง","หญิง",IF(TRIM(SUBSTITUTE(B61," ",""))="นางสาว","หญิง",IF(TRIM(SUBSTITUTE(B61," ",""))="น.ส.","หญิง","ระบุคำนำหน้าใม่ถูก")))))</f>
        <v/>
      </c>
      <c r="F61" s="94" t="str">
        <f aca="false">IF(ISBLANK(Summary!B67),"",Summary!F67)</f>
        <v/>
      </c>
      <c r="G61" s="96" t="str">
        <f aca="false">IF(ISBLANK(Summary!B67),"",IF(Summary!Q67="passed","ผ่าน",IF(Summary!Q67="fail","ไม่ผ่าน","")))</f>
        <v/>
      </c>
      <c r="H61" s="96" t="str">
        <f aca="false">IF(ISBLANK(Summary!B67),"",CONCATENATE(Summary!G67,Summary!H67,Summary!I67,Summary!J67,Summary!K67,N61))</f>
        <v/>
      </c>
      <c r="I61" s="97" t="str">
        <f aca="false">IF(ISBLANK(Summary!B67),"",IF(LEN(A61)=13,IF(RIGHT(11-MOD(MID(A61,1,1)*13+MID(A61,2,1)*12+MID(A61,3,1)*11+MID(A61,4,1)*10+MID(A61,5,1)*9+MID(A61,6,1)*8+MID(A61,7,1)*7+MID(A61,8,1)*6+MID(A61,9,1)*5+MID(A61,10,1)*4+MID(A61,11,1)*3+MID(A61,12,1)*2,11))=RIGHT(A61),"ถูกต้อง","ผิด "),"ไม่ครบ13หลัก"))</f>
        <v/>
      </c>
      <c r="J61" s="102"/>
      <c r="K61" s="102"/>
      <c r="L61" s="99" t="n">
        <f aca="false">Summary!N67</f>
        <v>0</v>
      </c>
      <c r="N61" s="0" t="n">
        <f aca="false">IF(L61="less than 10,000 (น้อยกว่า 10,000)",1,IF(L61="10,001-20,000",2,IF(L61="20,001-30,000",3,IF(L61="30,001-40,000",4,IF(L61="40,001-50,000",5,IF(L61="more than 50,001 (มากกว่า 50,001)",6,7))))))</f>
        <v>7</v>
      </c>
    </row>
    <row r="62" customFormat="false" ht="19.5" hidden="false" customHeight="true" outlineLevel="0" collapsed="false">
      <c r="A62" s="93" t="str">
        <f aca="false">IF(ISBLANK(Summary!B68),"",Summary!B68)</f>
        <v/>
      </c>
      <c r="B62" s="94" t="str">
        <f aca="false">IF(ISBLANK(Summary!B68),"",Summary!C68)</f>
        <v/>
      </c>
      <c r="C62" s="95" t="str">
        <f aca="false">IF(ISBLANK(Summary!B68),"",Summary!D68)</f>
        <v/>
      </c>
      <c r="D62" s="95" t="str">
        <f aca="false">IF(ISBLANK(Summary!B68),"",Summary!E68)</f>
        <v/>
      </c>
      <c r="E62" s="96" t="str">
        <f aca="false">IF(ISBLANK(Summary!B68),"",IF(TRIM(SUBSTITUTE(B62," ",""))="นาย","ชาย",IF(TRIM(SUBSTITUTE(B62," ",""))="นาง","หญิง",IF(TRIM(SUBSTITUTE(B62," ",""))="นางสาว","หญิง",IF(TRIM(SUBSTITUTE(B62," ",""))="น.ส.","หญิง","ระบุคำนำหน้าใม่ถูก")))))</f>
        <v/>
      </c>
      <c r="F62" s="94" t="str">
        <f aca="false">IF(ISBLANK(Summary!B68),"",Summary!F68)</f>
        <v/>
      </c>
      <c r="G62" s="96" t="str">
        <f aca="false">IF(ISBLANK(Summary!B68),"",IF(Summary!Q68="passed","ผ่าน",IF(Summary!Q68="fail","ไม่ผ่าน","")))</f>
        <v/>
      </c>
      <c r="H62" s="96" t="str">
        <f aca="false">IF(ISBLANK(Summary!B68),"",CONCATENATE(Summary!G68,Summary!H68,Summary!I68,Summary!J68,Summary!K68,N62))</f>
        <v/>
      </c>
      <c r="I62" s="97" t="str">
        <f aca="false">IF(ISBLANK(Summary!B68),"",IF(LEN(A62)=13,IF(RIGHT(11-MOD(MID(A62,1,1)*13+MID(A62,2,1)*12+MID(A62,3,1)*11+MID(A62,4,1)*10+MID(A62,5,1)*9+MID(A62,6,1)*8+MID(A62,7,1)*7+MID(A62,8,1)*6+MID(A62,9,1)*5+MID(A62,10,1)*4+MID(A62,11,1)*3+MID(A62,12,1)*2,11))=RIGHT(A62),"ถูกต้อง","ผิด "),"ไม่ครบ13หลัก"))</f>
        <v/>
      </c>
      <c r="J62" s="102"/>
      <c r="K62" s="102"/>
      <c r="L62" s="99" t="n">
        <f aca="false">Summary!N68</f>
        <v>0</v>
      </c>
      <c r="N62" s="0" t="n">
        <f aca="false">IF(L62="less than 10,000 (น้อยกว่า 10,000)",1,IF(L62="10,001-20,000",2,IF(L62="20,001-30,000",3,IF(L62="30,001-40,000",4,IF(L62="40,001-50,000",5,IF(L62="more than 50,001 (มากกว่า 50,001)",6,7))))))</f>
        <v>7</v>
      </c>
    </row>
    <row r="63" customFormat="false" ht="19.5" hidden="false" customHeight="true" outlineLevel="0" collapsed="false">
      <c r="A63" s="93" t="str">
        <f aca="false">IF(ISBLANK(Summary!B69),"",Summary!B69)</f>
        <v/>
      </c>
      <c r="B63" s="94" t="str">
        <f aca="false">IF(ISBLANK(Summary!B69),"",Summary!C69)</f>
        <v/>
      </c>
      <c r="C63" s="95" t="str">
        <f aca="false">IF(ISBLANK(Summary!B69),"",Summary!D69)</f>
        <v/>
      </c>
      <c r="D63" s="95" t="str">
        <f aca="false">IF(ISBLANK(Summary!B69),"",Summary!E69)</f>
        <v/>
      </c>
      <c r="E63" s="96" t="str">
        <f aca="false">IF(ISBLANK(Summary!B69),"",IF(TRIM(SUBSTITUTE(B63," ",""))="นาย","ชาย",IF(TRIM(SUBSTITUTE(B63," ",""))="นาง","หญิง",IF(TRIM(SUBSTITUTE(B63," ",""))="นางสาว","หญิง",IF(TRIM(SUBSTITUTE(B63," ",""))="น.ส.","หญิง","ระบุคำนำหน้าใม่ถูก")))))</f>
        <v/>
      </c>
      <c r="F63" s="94" t="str">
        <f aca="false">IF(ISBLANK(Summary!B69),"",Summary!F69)</f>
        <v/>
      </c>
      <c r="G63" s="96" t="str">
        <f aca="false">IF(ISBLANK(Summary!B69),"",IF(Summary!Q69="passed","ผ่าน",IF(Summary!Q69="fail","ไม่ผ่าน","")))</f>
        <v/>
      </c>
      <c r="H63" s="96" t="str">
        <f aca="false">IF(ISBLANK(Summary!B69),"",CONCATENATE(Summary!G69,Summary!H69,Summary!I69,Summary!J69,Summary!K69,N63))</f>
        <v/>
      </c>
      <c r="I63" s="97" t="str">
        <f aca="false">IF(ISBLANK(Summary!B69),"",IF(LEN(A63)=13,IF(RIGHT(11-MOD(MID(A63,1,1)*13+MID(A63,2,1)*12+MID(A63,3,1)*11+MID(A63,4,1)*10+MID(A63,5,1)*9+MID(A63,6,1)*8+MID(A63,7,1)*7+MID(A63,8,1)*6+MID(A63,9,1)*5+MID(A63,10,1)*4+MID(A63,11,1)*3+MID(A63,12,1)*2,11))=RIGHT(A63),"ถูกต้อง","ผิด "),"ไม่ครบ13หลัก"))</f>
        <v/>
      </c>
      <c r="J63" s="102"/>
      <c r="K63" s="102"/>
      <c r="L63" s="99" t="n">
        <f aca="false">Summary!N69</f>
        <v>0</v>
      </c>
      <c r="N63" s="0" t="n">
        <f aca="false">IF(L63="less than 10,000 (น้อยกว่า 10,000)",1,IF(L63="10,001-20,000",2,IF(L63="20,001-30,000",3,IF(L63="30,001-40,000",4,IF(L63="40,001-50,000",5,IF(L63="more than 50,001 (มากกว่า 50,001)",6,7))))))</f>
        <v>7</v>
      </c>
    </row>
    <row r="64" customFormat="false" ht="19.5" hidden="false" customHeight="true" outlineLevel="0" collapsed="false">
      <c r="A64" s="93" t="str">
        <f aca="false">IF(ISBLANK(Summary!B70),"",Summary!B70)</f>
        <v/>
      </c>
      <c r="B64" s="94" t="str">
        <f aca="false">IF(ISBLANK(Summary!B70),"",Summary!C70)</f>
        <v/>
      </c>
      <c r="C64" s="95" t="str">
        <f aca="false">IF(ISBLANK(Summary!B70),"",Summary!D70)</f>
        <v/>
      </c>
      <c r="D64" s="95" t="str">
        <f aca="false">IF(ISBLANK(Summary!B70),"",Summary!E70)</f>
        <v/>
      </c>
      <c r="E64" s="96" t="str">
        <f aca="false">IF(ISBLANK(Summary!B70),"",IF(TRIM(SUBSTITUTE(B64," ",""))="นาย","ชาย",IF(TRIM(SUBSTITUTE(B64," ",""))="นาง","หญิง",IF(TRIM(SUBSTITUTE(B64," ",""))="นางสาว","หญิง",IF(TRIM(SUBSTITUTE(B64," ",""))="น.ส.","หญิง","ระบุคำนำหน้าใม่ถูก")))))</f>
        <v/>
      </c>
      <c r="F64" s="94" t="str">
        <f aca="false">IF(ISBLANK(Summary!B70),"",Summary!F70)</f>
        <v/>
      </c>
      <c r="G64" s="96" t="str">
        <f aca="false">IF(ISBLANK(Summary!B70),"",IF(Summary!Q70="passed","ผ่าน",IF(Summary!Q70="fail","ไม่ผ่าน","")))</f>
        <v/>
      </c>
      <c r="H64" s="96" t="str">
        <f aca="false">IF(ISBLANK(Summary!B70),"",CONCATENATE(Summary!G70,Summary!H70,Summary!I70,Summary!J70,Summary!K70,N64))</f>
        <v/>
      </c>
      <c r="I64" s="97" t="str">
        <f aca="false">IF(ISBLANK(Summary!B70),"",IF(LEN(A64)=13,IF(RIGHT(11-MOD(MID(A64,1,1)*13+MID(A64,2,1)*12+MID(A64,3,1)*11+MID(A64,4,1)*10+MID(A64,5,1)*9+MID(A64,6,1)*8+MID(A64,7,1)*7+MID(A64,8,1)*6+MID(A64,9,1)*5+MID(A64,10,1)*4+MID(A64,11,1)*3+MID(A64,12,1)*2,11))=RIGHT(A64),"ถูกต้อง","ผิด "),"ไม่ครบ13หลัก"))</f>
        <v/>
      </c>
      <c r="J64" s="102"/>
      <c r="K64" s="102"/>
      <c r="L64" s="99" t="n">
        <f aca="false">Summary!N70</f>
        <v>0</v>
      </c>
      <c r="N64" s="0" t="n">
        <f aca="false">IF(L64="less than 10,000 (น้อยกว่า 10,000)",1,IF(L64="10,001-20,000",2,IF(L64="20,001-30,000",3,IF(L64="30,001-40,000",4,IF(L64="40,001-50,000",5,IF(L64="more than 50,001 (มากกว่า 50,001)",6,7))))))</f>
        <v>7</v>
      </c>
    </row>
    <row r="65" customFormat="false" ht="19.5" hidden="false" customHeight="true" outlineLevel="0" collapsed="false">
      <c r="A65" s="93" t="str">
        <f aca="false">IF(ISBLANK(Summary!B71),"",Summary!B71)</f>
        <v/>
      </c>
      <c r="B65" s="94" t="str">
        <f aca="false">IF(ISBLANK(Summary!B71),"",Summary!C71)</f>
        <v/>
      </c>
      <c r="C65" s="95" t="str">
        <f aca="false">IF(ISBLANK(Summary!B71),"",Summary!D71)</f>
        <v/>
      </c>
      <c r="D65" s="95" t="str">
        <f aca="false">IF(ISBLANK(Summary!B71),"",Summary!E71)</f>
        <v/>
      </c>
      <c r="E65" s="96" t="str">
        <f aca="false">IF(ISBLANK(Summary!B71),"",IF(TRIM(SUBSTITUTE(B65," ",""))="นาย","ชาย",IF(TRIM(SUBSTITUTE(B65," ",""))="นาง","หญิง",IF(TRIM(SUBSTITUTE(B65," ",""))="นางสาว","หญิง",IF(TRIM(SUBSTITUTE(B65," ",""))="น.ส.","หญิง","ระบุคำนำหน้าใม่ถูก")))))</f>
        <v/>
      </c>
      <c r="F65" s="94" t="str">
        <f aca="false">IF(ISBLANK(Summary!B71),"",Summary!F71)</f>
        <v/>
      </c>
      <c r="G65" s="96" t="str">
        <f aca="false">IF(ISBLANK(Summary!B71),"",IF(Summary!Q71="passed","ผ่าน",IF(Summary!Q71="fail","ไม่ผ่าน","")))</f>
        <v/>
      </c>
      <c r="H65" s="96" t="str">
        <f aca="false">IF(ISBLANK(Summary!B71),"",CONCATENATE(Summary!G71,Summary!H71,Summary!I71,Summary!J71,Summary!K71,N65))</f>
        <v/>
      </c>
      <c r="I65" s="97" t="str">
        <f aca="false">IF(ISBLANK(Summary!B71),"",IF(LEN(A65)=13,IF(RIGHT(11-MOD(MID(A65,1,1)*13+MID(A65,2,1)*12+MID(A65,3,1)*11+MID(A65,4,1)*10+MID(A65,5,1)*9+MID(A65,6,1)*8+MID(A65,7,1)*7+MID(A65,8,1)*6+MID(A65,9,1)*5+MID(A65,10,1)*4+MID(A65,11,1)*3+MID(A65,12,1)*2,11))=RIGHT(A65),"ถูกต้อง","ผิด "),"ไม่ครบ13หลัก"))</f>
        <v/>
      </c>
      <c r="J65" s="102"/>
      <c r="K65" s="102"/>
      <c r="L65" s="99" t="n">
        <f aca="false">Summary!N71</f>
        <v>0</v>
      </c>
      <c r="N65" s="0" t="n">
        <f aca="false">IF(L65="less than 10,000 (น้อยกว่า 10,000)",1,IF(L65="10,001-20,000",2,IF(L65="20,001-30,000",3,IF(L65="30,001-40,000",4,IF(L65="40,001-50,000",5,IF(L65="more than 50,001 (มากกว่า 50,001)",6,7))))))</f>
        <v>7</v>
      </c>
    </row>
    <row r="66" customFormat="false" ht="19.5" hidden="false" customHeight="true" outlineLevel="0" collapsed="false">
      <c r="A66" s="93" t="str">
        <f aca="false">IF(ISBLANK(Summary!B72),"",Summary!B72)</f>
        <v/>
      </c>
      <c r="B66" s="94" t="str">
        <f aca="false">IF(ISBLANK(Summary!B72),"",Summary!C72)</f>
        <v/>
      </c>
      <c r="C66" s="95" t="str">
        <f aca="false">IF(ISBLANK(Summary!B72),"",Summary!D72)</f>
        <v/>
      </c>
      <c r="D66" s="95" t="str">
        <f aca="false">IF(ISBLANK(Summary!B72),"",Summary!E72)</f>
        <v/>
      </c>
      <c r="E66" s="96" t="str">
        <f aca="false">IF(ISBLANK(Summary!B72),"",IF(TRIM(SUBSTITUTE(B66," ",""))="นาย","ชาย",IF(TRIM(SUBSTITUTE(B66," ",""))="นาง","หญิง",IF(TRIM(SUBSTITUTE(B66," ",""))="นางสาว","หญิง",IF(TRIM(SUBSTITUTE(B66," ",""))="น.ส.","หญิง","ระบุคำนำหน้าใม่ถูก")))))</f>
        <v/>
      </c>
      <c r="F66" s="94" t="str">
        <f aca="false">IF(ISBLANK(Summary!B72),"",Summary!F72)</f>
        <v/>
      </c>
      <c r="G66" s="96" t="str">
        <f aca="false">IF(ISBLANK(Summary!B72),"",IF(Summary!Q72="passed","ผ่าน",IF(Summary!Q72="fail","ไม่ผ่าน","")))</f>
        <v/>
      </c>
      <c r="H66" s="96" t="str">
        <f aca="false">IF(ISBLANK(Summary!B72),"",CONCATENATE(Summary!G72,Summary!H72,Summary!I72,Summary!J72,Summary!K72,N66))</f>
        <v/>
      </c>
      <c r="I66" s="97" t="str">
        <f aca="false">IF(ISBLANK(Summary!B72),"",IF(LEN(A66)=13,IF(RIGHT(11-MOD(MID(A66,1,1)*13+MID(A66,2,1)*12+MID(A66,3,1)*11+MID(A66,4,1)*10+MID(A66,5,1)*9+MID(A66,6,1)*8+MID(A66,7,1)*7+MID(A66,8,1)*6+MID(A66,9,1)*5+MID(A66,10,1)*4+MID(A66,11,1)*3+MID(A66,12,1)*2,11))=RIGHT(A66),"ถูกต้อง","ผิด "),"ไม่ครบ13หลัก"))</f>
        <v/>
      </c>
      <c r="J66" s="102"/>
      <c r="K66" s="102"/>
      <c r="L66" s="99" t="n">
        <f aca="false">Summary!N72</f>
        <v>0</v>
      </c>
      <c r="N66" s="0" t="n">
        <f aca="false">IF(L66="less than 10,000 (น้อยกว่า 10,000)",1,IF(L66="10,001-20,000",2,IF(L66="20,001-30,000",3,IF(L66="30,001-40,000",4,IF(L66="40,001-50,000",5,IF(L66="more than 50,001 (มากกว่า 50,001)",6,7))))))</f>
        <v>7</v>
      </c>
    </row>
    <row r="67" customFormat="false" ht="19.5" hidden="false" customHeight="true" outlineLevel="0" collapsed="false">
      <c r="A67" s="93" t="str">
        <f aca="false">IF(ISBLANK(Summary!B73),"",Summary!B73)</f>
        <v/>
      </c>
      <c r="B67" s="94" t="str">
        <f aca="false">IF(ISBLANK(Summary!B73),"",Summary!C73)</f>
        <v/>
      </c>
      <c r="C67" s="95" t="str">
        <f aca="false">IF(ISBLANK(Summary!B73),"",Summary!D73)</f>
        <v/>
      </c>
      <c r="D67" s="95" t="str">
        <f aca="false">IF(ISBLANK(Summary!B73),"",Summary!E73)</f>
        <v/>
      </c>
      <c r="E67" s="96" t="str">
        <f aca="false">IF(ISBLANK(Summary!B73),"",IF(TRIM(SUBSTITUTE(B67," ",""))="นาย","ชาย",IF(TRIM(SUBSTITUTE(B67," ",""))="นาง","หญิง",IF(TRIM(SUBSTITUTE(B67," ",""))="นางสาว","หญิง",IF(TRIM(SUBSTITUTE(B67," ",""))="น.ส.","หญิง","ระบุคำนำหน้าใม่ถูก")))))</f>
        <v/>
      </c>
      <c r="F67" s="94" t="str">
        <f aca="false">IF(ISBLANK(Summary!B73),"",Summary!F73)</f>
        <v/>
      </c>
      <c r="G67" s="96" t="str">
        <f aca="false">IF(ISBLANK(Summary!B73),"",IF(Summary!Q73="passed","ผ่าน",IF(Summary!Q73="fail","ไม่ผ่าน","")))</f>
        <v/>
      </c>
      <c r="H67" s="96" t="str">
        <f aca="false">IF(ISBLANK(Summary!B73),"",CONCATENATE(Summary!G73,Summary!H73,Summary!I73,Summary!J73,Summary!K73,N67))</f>
        <v/>
      </c>
      <c r="I67" s="97" t="str">
        <f aca="false">IF(ISBLANK(Summary!B73),"",IF(LEN(A67)=13,IF(RIGHT(11-MOD(MID(A67,1,1)*13+MID(A67,2,1)*12+MID(A67,3,1)*11+MID(A67,4,1)*10+MID(A67,5,1)*9+MID(A67,6,1)*8+MID(A67,7,1)*7+MID(A67,8,1)*6+MID(A67,9,1)*5+MID(A67,10,1)*4+MID(A67,11,1)*3+MID(A67,12,1)*2,11))=RIGHT(A67),"ถูกต้อง","ผิด "),"ไม่ครบ13หลัก"))</f>
        <v/>
      </c>
      <c r="J67" s="102"/>
      <c r="K67" s="102"/>
      <c r="L67" s="99" t="n">
        <f aca="false">Summary!N73</f>
        <v>0</v>
      </c>
      <c r="N67" s="0" t="n">
        <f aca="false">IF(L67="less than 10,000 (น้อยกว่า 10,000)",1,IF(L67="10,001-20,000",2,IF(L67="20,001-30,000",3,IF(L67="30,001-40,000",4,IF(L67="40,001-50,000",5,IF(L67="more than 50,001 (มากกว่า 50,001)",6,7))))))</f>
        <v>7</v>
      </c>
    </row>
    <row r="68" customFormat="false" ht="19.5" hidden="false" customHeight="true" outlineLevel="0" collapsed="false">
      <c r="A68" s="93" t="str">
        <f aca="false">IF(ISBLANK(Summary!B74),"",Summary!B74)</f>
        <v/>
      </c>
      <c r="B68" s="94" t="str">
        <f aca="false">IF(ISBLANK(Summary!B74),"",Summary!C74)</f>
        <v/>
      </c>
      <c r="C68" s="95" t="str">
        <f aca="false">IF(ISBLANK(Summary!B74),"",Summary!D74)</f>
        <v/>
      </c>
      <c r="D68" s="95" t="str">
        <f aca="false">IF(ISBLANK(Summary!B74),"",Summary!E74)</f>
        <v/>
      </c>
      <c r="E68" s="96" t="str">
        <f aca="false">IF(ISBLANK(Summary!B74),"",IF(TRIM(SUBSTITUTE(B68," ",""))="นาย","ชาย",IF(TRIM(SUBSTITUTE(B68," ",""))="นาง","หญิง",IF(TRIM(SUBSTITUTE(B68," ",""))="นางสาว","หญิง",IF(TRIM(SUBSTITUTE(B68," ",""))="น.ส.","หญิง","ระบุคำนำหน้าใม่ถูก")))))</f>
        <v/>
      </c>
      <c r="F68" s="94" t="str">
        <f aca="false">IF(ISBLANK(Summary!B74),"",Summary!F74)</f>
        <v/>
      </c>
      <c r="G68" s="96" t="str">
        <f aca="false">IF(ISBLANK(Summary!B74),"",IF(Summary!Q74="passed","ผ่าน",IF(Summary!Q74="fail","ไม่ผ่าน","")))</f>
        <v/>
      </c>
      <c r="H68" s="96" t="str">
        <f aca="false">IF(ISBLANK(Summary!B74),"",CONCATENATE(Summary!G74,Summary!H74,Summary!I74,Summary!J74,Summary!K74,N68))</f>
        <v/>
      </c>
      <c r="I68" s="97" t="str">
        <f aca="false">IF(ISBLANK(Summary!B74),"",IF(LEN(A68)=13,IF(RIGHT(11-MOD(MID(A68,1,1)*13+MID(A68,2,1)*12+MID(A68,3,1)*11+MID(A68,4,1)*10+MID(A68,5,1)*9+MID(A68,6,1)*8+MID(A68,7,1)*7+MID(A68,8,1)*6+MID(A68,9,1)*5+MID(A68,10,1)*4+MID(A68,11,1)*3+MID(A68,12,1)*2,11))=RIGHT(A68),"ถูกต้อง","ผิด "),"ไม่ครบ13หลัก"))</f>
        <v/>
      </c>
      <c r="J68" s="102"/>
      <c r="K68" s="102"/>
      <c r="L68" s="99" t="n">
        <f aca="false">Summary!N74</f>
        <v>0</v>
      </c>
      <c r="N68" s="0" t="n">
        <f aca="false">IF(L68="less than 10,000 (น้อยกว่า 10,000)",1,IF(L68="10,001-20,000",2,IF(L68="20,001-30,000",3,IF(L68="30,001-40,000",4,IF(L68="40,001-50,000",5,IF(L68="more than 50,001 (มากกว่า 50,001)",6,7))))))</f>
        <v>7</v>
      </c>
    </row>
    <row r="69" customFormat="false" ht="19.5" hidden="false" customHeight="true" outlineLevel="0" collapsed="false">
      <c r="A69" s="93" t="str">
        <f aca="false">IF(ISBLANK(Summary!B75),"",Summary!B75)</f>
        <v/>
      </c>
      <c r="B69" s="94" t="str">
        <f aca="false">IF(ISBLANK(Summary!B75),"",Summary!C75)</f>
        <v/>
      </c>
      <c r="C69" s="95" t="str">
        <f aca="false">IF(ISBLANK(Summary!B75),"",Summary!D75)</f>
        <v/>
      </c>
      <c r="D69" s="95" t="str">
        <f aca="false">IF(ISBLANK(Summary!B75),"",Summary!E75)</f>
        <v/>
      </c>
      <c r="E69" s="96" t="str">
        <f aca="false">IF(ISBLANK(Summary!B75),"",IF(TRIM(SUBSTITUTE(B69," ",""))="นาย","ชาย",IF(TRIM(SUBSTITUTE(B69," ",""))="นาง","หญิง",IF(TRIM(SUBSTITUTE(B69," ",""))="นางสาว","หญิง",IF(TRIM(SUBSTITUTE(B69," ",""))="น.ส.","หญิง","ระบุคำนำหน้าใม่ถูก")))))</f>
        <v/>
      </c>
      <c r="F69" s="94" t="str">
        <f aca="false">IF(ISBLANK(Summary!B75),"",Summary!F75)</f>
        <v/>
      </c>
      <c r="G69" s="96" t="str">
        <f aca="false">IF(ISBLANK(Summary!B75),"",IF(Summary!Q75="passed","ผ่าน",IF(Summary!Q75="fail","ไม่ผ่าน","")))</f>
        <v/>
      </c>
      <c r="H69" s="96" t="str">
        <f aca="false">IF(ISBLANK(Summary!B75),"",CONCATENATE(Summary!G75,Summary!H75,Summary!I75,Summary!J75,Summary!K75,N69))</f>
        <v/>
      </c>
      <c r="I69" s="97" t="str">
        <f aca="false">IF(ISBLANK(Summary!B75),"",IF(LEN(A69)=13,IF(RIGHT(11-MOD(MID(A69,1,1)*13+MID(A69,2,1)*12+MID(A69,3,1)*11+MID(A69,4,1)*10+MID(A69,5,1)*9+MID(A69,6,1)*8+MID(A69,7,1)*7+MID(A69,8,1)*6+MID(A69,9,1)*5+MID(A69,10,1)*4+MID(A69,11,1)*3+MID(A69,12,1)*2,11))=RIGHT(A69),"ถูกต้อง","ผิด "),"ไม่ครบ13หลัก"))</f>
        <v/>
      </c>
      <c r="J69" s="102"/>
      <c r="K69" s="102"/>
      <c r="L69" s="99" t="n">
        <f aca="false">Summary!N75</f>
        <v>0</v>
      </c>
      <c r="N69" s="0" t="n">
        <f aca="false">IF(L69="less than 10,000 (น้อยกว่า 10,000)",1,IF(L69="10,001-20,000",2,IF(L69="20,001-30,000",3,IF(L69="30,001-40,000",4,IF(L69="40,001-50,000",5,IF(L69="more than 50,001 (มากกว่า 50,001)",6,7))))))</f>
        <v>7</v>
      </c>
    </row>
    <row r="70" customFormat="false" ht="19.5" hidden="false" customHeight="true" outlineLevel="0" collapsed="false">
      <c r="A70" s="93" t="str">
        <f aca="false">IF(ISBLANK(Summary!B76),"",Summary!B76)</f>
        <v/>
      </c>
      <c r="B70" s="94" t="str">
        <f aca="false">IF(ISBLANK(Summary!B76),"",Summary!C76)</f>
        <v/>
      </c>
      <c r="C70" s="95" t="str">
        <f aca="false">IF(ISBLANK(Summary!B76),"",Summary!D76)</f>
        <v/>
      </c>
      <c r="D70" s="95" t="str">
        <f aca="false">IF(ISBLANK(Summary!B76),"",Summary!E76)</f>
        <v/>
      </c>
      <c r="E70" s="96" t="str">
        <f aca="false">IF(ISBLANK(Summary!B76),"",IF(TRIM(SUBSTITUTE(B70," ",""))="นาย","ชาย",IF(TRIM(SUBSTITUTE(B70," ",""))="นาง","หญิง",IF(TRIM(SUBSTITUTE(B70," ",""))="นางสาว","หญิง",IF(TRIM(SUBSTITUTE(B70," ",""))="น.ส.","หญิง","ระบุคำนำหน้าใม่ถูก")))))</f>
        <v/>
      </c>
      <c r="F70" s="94" t="str">
        <f aca="false">IF(ISBLANK(Summary!B76),"",Summary!F76)</f>
        <v/>
      </c>
      <c r="G70" s="96" t="str">
        <f aca="false">IF(ISBLANK(Summary!B76),"",IF(Summary!Q76="passed","ผ่าน",IF(Summary!Q76="fail","ไม่ผ่าน","")))</f>
        <v/>
      </c>
      <c r="H70" s="96" t="str">
        <f aca="false">IF(ISBLANK(Summary!B76),"",CONCATENATE(Summary!G76,Summary!H76,Summary!I76,Summary!J76,Summary!K76,N70))</f>
        <v/>
      </c>
      <c r="I70" s="97" t="str">
        <f aca="false">IF(ISBLANK(Summary!B76),"",IF(LEN(A70)=13,IF(RIGHT(11-MOD(MID(A70,1,1)*13+MID(A70,2,1)*12+MID(A70,3,1)*11+MID(A70,4,1)*10+MID(A70,5,1)*9+MID(A70,6,1)*8+MID(A70,7,1)*7+MID(A70,8,1)*6+MID(A70,9,1)*5+MID(A70,10,1)*4+MID(A70,11,1)*3+MID(A70,12,1)*2,11))=RIGHT(A70),"ถูกต้อง","ผิด "),"ไม่ครบ13หลัก"))</f>
        <v/>
      </c>
      <c r="J70" s="102"/>
      <c r="K70" s="102"/>
      <c r="L70" s="99" t="n">
        <f aca="false">Summary!N76</f>
        <v>0</v>
      </c>
      <c r="N70" s="0" t="n">
        <f aca="false">IF(L70="less than 10,000 (น้อยกว่า 10,000)",1,IF(L70="10,001-20,000",2,IF(L70="20,001-30,000",3,IF(L70="30,001-40,000",4,IF(L70="40,001-50,000",5,IF(L70="more than 50,001 (มากกว่า 50,001)",6,7))))))</f>
        <v>7</v>
      </c>
    </row>
    <row r="71" customFormat="false" ht="19.5" hidden="false" customHeight="true" outlineLevel="0" collapsed="false">
      <c r="A71" s="93" t="str">
        <f aca="false">IF(ISBLANK(Summary!B77),"",Summary!B77)</f>
        <v/>
      </c>
      <c r="B71" s="94" t="str">
        <f aca="false">IF(ISBLANK(Summary!B77),"",Summary!C77)</f>
        <v/>
      </c>
      <c r="C71" s="95" t="str">
        <f aca="false">IF(ISBLANK(Summary!B77),"",Summary!D77)</f>
        <v/>
      </c>
      <c r="D71" s="95" t="str">
        <f aca="false">IF(ISBLANK(Summary!B77),"",Summary!E77)</f>
        <v/>
      </c>
      <c r="E71" s="96" t="str">
        <f aca="false">IF(ISBLANK(Summary!B77),"",IF(TRIM(SUBSTITUTE(B71," ",""))="นาย","ชาย",IF(TRIM(SUBSTITUTE(B71," ",""))="นาง","หญิง",IF(TRIM(SUBSTITUTE(B71," ",""))="นางสาว","หญิง",IF(TRIM(SUBSTITUTE(B71," ",""))="น.ส.","หญิง","ระบุคำนำหน้าใม่ถูก")))))</f>
        <v/>
      </c>
      <c r="F71" s="94" t="str">
        <f aca="false">IF(ISBLANK(Summary!B77),"",Summary!F77)</f>
        <v/>
      </c>
      <c r="G71" s="96" t="str">
        <f aca="false">IF(ISBLANK(Summary!B77),"",IF(Summary!Q77="passed","ผ่าน",IF(Summary!Q77="fail","ไม่ผ่าน","")))</f>
        <v/>
      </c>
      <c r="H71" s="96" t="str">
        <f aca="false">IF(ISBLANK(Summary!B77),"",CONCATENATE(Summary!G77,Summary!H77,Summary!I77,Summary!J77,Summary!K77,N71))</f>
        <v/>
      </c>
      <c r="I71" s="97" t="str">
        <f aca="false">IF(ISBLANK(Summary!B77),"",IF(LEN(A71)=13,IF(RIGHT(11-MOD(MID(A71,1,1)*13+MID(A71,2,1)*12+MID(A71,3,1)*11+MID(A71,4,1)*10+MID(A71,5,1)*9+MID(A71,6,1)*8+MID(A71,7,1)*7+MID(A71,8,1)*6+MID(A71,9,1)*5+MID(A71,10,1)*4+MID(A71,11,1)*3+MID(A71,12,1)*2,11))=RIGHT(A71),"ถูกต้อง","ผิด "),"ไม่ครบ13หลัก"))</f>
        <v/>
      </c>
      <c r="J71" s="102"/>
      <c r="K71" s="102"/>
      <c r="L71" s="99" t="n">
        <f aca="false">Summary!N77</f>
        <v>0</v>
      </c>
      <c r="N71" s="0" t="n">
        <f aca="false">IF(L71="less than 10,000 (น้อยกว่า 10,000)",1,IF(L71="10,001-20,000",2,IF(L71="20,001-30,000",3,IF(L71="30,001-40,000",4,IF(L71="40,001-50,000",5,IF(L71="more than 50,001 (มากกว่า 50,001)",6,7))))))</f>
        <v>7</v>
      </c>
    </row>
    <row r="72" customFormat="false" ht="19.5" hidden="false" customHeight="true" outlineLevel="0" collapsed="false">
      <c r="A72" s="93" t="str">
        <f aca="false">IF(ISBLANK(Summary!B78),"",Summary!B78)</f>
        <v/>
      </c>
      <c r="B72" s="94" t="str">
        <f aca="false">IF(ISBLANK(Summary!B78),"",Summary!C78)</f>
        <v/>
      </c>
      <c r="C72" s="95" t="str">
        <f aca="false">IF(ISBLANK(Summary!B78),"",Summary!D78)</f>
        <v/>
      </c>
      <c r="D72" s="95" t="str">
        <f aca="false">IF(ISBLANK(Summary!B78),"",Summary!E78)</f>
        <v/>
      </c>
      <c r="E72" s="96" t="str">
        <f aca="false">IF(ISBLANK(Summary!B78),"",IF(TRIM(SUBSTITUTE(B72," ",""))="นาย","ชาย",IF(TRIM(SUBSTITUTE(B72," ",""))="นาง","หญิง",IF(TRIM(SUBSTITUTE(B72," ",""))="นางสาว","หญิง",IF(TRIM(SUBSTITUTE(B72," ",""))="น.ส.","หญิง","ระบุคำนำหน้าใม่ถูก")))))</f>
        <v/>
      </c>
      <c r="F72" s="94" t="str">
        <f aca="false">IF(ISBLANK(Summary!B78),"",Summary!F78)</f>
        <v/>
      </c>
      <c r="G72" s="96" t="str">
        <f aca="false">IF(ISBLANK(Summary!B78),"",IF(Summary!Q78="passed","ผ่าน",IF(Summary!Q78="fail","ไม่ผ่าน","")))</f>
        <v/>
      </c>
      <c r="H72" s="96" t="str">
        <f aca="false">IF(ISBLANK(Summary!B78),"",CONCATENATE(Summary!G78,Summary!H78,Summary!I78,Summary!J78,Summary!K78,N72))</f>
        <v/>
      </c>
      <c r="I72" s="97" t="str">
        <f aca="false">IF(ISBLANK(Summary!B78),"",IF(LEN(A72)=13,IF(RIGHT(11-MOD(MID(A72,1,1)*13+MID(A72,2,1)*12+MID(A72,3,1)*11+MID(A72,4,1)*10+MID(A72,5,1)*9+MID(A72,6,1)*8+MID(A72,7,1)*7+MID(A72,8,1)*6+MID(A72,9,1)*5+MID(A72,10,1)*4+MID(A72,11,1)*3+MID(A72,12,1)*2,11))=RIGHT(A72),"ถูกต้อง","ผิด "),"ไม่ครบ13หลัก"))</f>
        <v/>
      </c>
      <c r="J72" s="102"/>
      <c r="K72" s="102"/>
      <c r="L72" s="99" t="n">
        <f aca="false">Summary!N78</f>
        <v>0</v>
      </c>
      <c r="N72" s="0" t="n">
        <f aca="false">IF(L72="less than 10,000 (น้อยกว่า 10,000)",1,IF(L72="10,001-20,000",2,IF(L72="20,001-30,000",3,IF(L72="30,001-40,000",4,IF(L72="40,001-50,000",5,IF(L72="more than 50,001 (มากกว่า 50,001)",6,7))))))</f>
        <v>7</v>
      </c>
    </row>
    <row r="73" customFormat="false" ht="19.5" hidden="false" customHeight="true" outlineLevel="0" collapsed="false">
      <c r="A73" s="93" t="str">
        <f aca="false">IF(ISBLANK(Summary!B79),"",Summary!B79)</f>
        <v/>
      </c>
      <c r="B73" s="94" t="str">
        <f aca="false">IF(ISBLANK(Summary!B79),"",Summary!C79)</f>
        <v/>
      </c>
      <c r="C73" s="95" t="str">
        <f aca="false">IF(ISBLANK(Summary!B79),"",Summary!D79)</f>
        <v/>
      </c>
      <c r="D73" s="95" t="str">
        <f aca="false">IF(ISBLANK(Summary!B79),"",Summary!E79)</f>
        <v/>
      </c>
      <c r="E73" s="96" t="str">
        <f aca="false">IF(ISBLANK(Summary!B79),"",IF(TRIM(SUBSTITUTE(B73," ",""))="นาย","ชาย",IF(TRIM(SUBSTITUTE(B73," ",""))="นาง","หญิง",IF(TRIM(SUBSTITUTE(B73," ",""))="นางสาว","หญิง",IF(TRIM(SUBSTITUTE(B73," ",""))="น.ส.","หญิง","ระบุคำนำหน้าใม่ถูก")))))</f>
        <v/>
      </c>
      <c r="F73" s="94" t="str">
        <f aca="false">IF(ISBLANK(Summary!B79),"",Summary!F79)</f>
        <v/>
      </c>
      <c r="G73" s="96" t="str">
        <f aca="false">IF(ISBLANK(Summary!B79),"",IF(Summary!Q79="passed","ผ่าน",IF(Summary!Q79="fail","ไม่ผ่าน","")))</f>
        <v/>
      </c>
      <c r="H73" s="96" t="str">
        <f aca="false">IF(ISBLANK(Summary!B79),"",CONCATENATE(Summary!G79,Summary!H79,Summary!I79,Summary!J79,Summary!K79,N73))</f>
        <v/>
      </c>
      <c r="I73" s="97" t="str">
        <f aca="false">IF(ISBLANK(Summary!B79),"",IF(LEN(A73)=13,IF(RIGHT(11-MOD(MID(A73,1,1)*13+MID(A73,2,1)*12+MID(A73,3,1)*11+MID(A73,4,1)*10+MID(A73,5,1)*9+MID(A73,6,1)*8+MID(A73,7,1)*7+MID(A73,8,1)*6+MID(A73,9,1)*5+MID(A73,10,1)*4+MID(A73,11,1)*3+MID(A73,12,1)*2,11))=RIGHT(A73),"ถูกต้อง","ผิด "),"ไม่ครบ13หลัก"))</f>
        <v/>
      </c>
      <c r="J73" s="102"/>
      <c r="K73" s="102"/>
      <c r="L73" s="99" t="n">
        <f aca="false">Summary!N79</f>
        <v>0</v>
      </c>
      <c r="N73" s="0" t="n">
        <f aca="false">IF(L73="less than 10,000 (น้อยกว่า 10,000)",1,IF(L73="10,001-20,000",2,IF(L73="20,001-30,000",3,IF(L73="30,001-40,000",4,IF(L73="40,001-50,000",5,IF(L73="more than 50,001 (มากกว่า 50,001)",6,7))))))</f>
        <v>7</v>
      </c>
    </row>
    <row r="74" customFormat="false" ht="19.5" hidden="false" customHeight="true" outlineLevel="0" collapsed="false">
      <c r="A74" s="93" t="str">
        <f aca="false">IF(ISBLANK(Summary!B80),"",Summary!B80)</f>
        <v/>
      </c>
      <c r="B74" s="94" t="str">
        <f aca="false">IF(ISBLANK(Summary!B80),"",Summary!C80)</f>
        <v/>
      </c>
      <c r="C74" s="95" t="str">
        <f aca="false">IF(ISBLANK(Summary!B80),"",Summary!D80)</f>
        <v/>
      </c>
      <c r="D74" s="95" t="str">
        <f aca="false">IF(ISBLANK(Summary!B80),"",Summary!E80)</f>
        <v/>
      </c>
      <c r="E74" s="96" t="str">
        <f aca="false">IF(ISBLANK(Summary!B80),"",IF(TRIM(SUBSTITUTE(B74," ",""))="นาย","ชาย",IF(TRIM(SUBSTITUTE(B74," ",""))="นาง","หญิง",IF(TRIM(SUBSTITUTE(B74," ",""))="นางสาว","หญิง",IF(TRIM(SUBSTITUTE(B74," ",""))="น.ส.","หญิง","ระบุคำนำหน้าใม่ถูก")))))</f>
        <v/>
      </c>
      <c r="F74" s="94" t="str">
        <f aca="false">IF(ISBLANK(Summary!B80),"",Summary!F80)</f>
        <v/>
      </c>
      <c r="G74" s="96" t="str">
        <f aca="false">IF(ISBLANK(Summary!B80),"",IF(Summary!Q80="passed","ผ่าน",IF(Summary!Q80="fail","ไม่ผ่าน","")))</f>
        <v/>
      </c>
      <c r="H74" s="96" t="str">
        <f aca="false">IF(ISBLANK(Summary!B80),"",CONCATENATE(Summary!G80,Summary!H80,Summary!I80,Summary!J80,Summary!K80,N74))</f>
        <v/>
      </c>
      <c r="I74" s="97" t="str">
        <f aca="false">IF(ISBLANK(Summary!B80),"",IF(LEN(A74)=13,IF(RIGHT(11-MOD(MID(A74,1,1)*13+MID(A74,2,1)*12+MID(A74,3,1)*11+MID(A74,4,1)*10+MID(A74,5,1)*9+MID(A74,6,1)*8+MID(A74,7,1)*7+MID(A74,8,1)*6+MID(A74,9,1)*5+MID(A74,10,1)*4+MID(A74,11,1)*3+MID(A74,12,1)*2,11))=RIGHT(A74),"ถูกต้อง","ผิด "),"ไม่ครบ13หลัก"))</f>
        <v/>
      </c>
      <c r="J74" s="102"/>
      <c r="K74" s="102"/>
      <c r="L74" s="99" t="n">
        <f aca="false">Summary!N80</f>
        <v>0</v>
      </c>
      <c r="N74" s="0" t="n">
        <f aca="false">IF(L74="less than 10,000 (น้อยกว่า 10,000)",1,IF(L74="10,001-20,000",2,IF(L74="20,001-30,000",3,IF(L74="30,001-40,000",4,IF(L74="40,001-50,000",5,IF(L74="more than 50,001 (มากกว่า 50,001)",6,7))))))</f>
        <v>7</v>
      </c>
    </row>
    <row r="75" customFormat="false" ht="19.5" hidden="false" customHeight="true" outlineLevel="0" collapsed="false">
      <c r="A75" s="93" t="str">
        <f aca="false">IF(ISBLANK(Summary!B81),"",Summary!B81)</f>
        <v/>
      </c>
      <c r="B75" s="94" t="str">
        <f aca="false">IF(ISBLANK(Summary!B81),"",Summary!C81)</f>
        <v/>
      </c>
      <c r="C75" s="95" t="str">
        <f aca="false">IF(ISBLANK(Summary!B81),"",Summary!D81)</f>
        <v/>
      </c>
      <c r="D75" s="95" t="str">
        <f aca="false">IF(ISBLANK(Summary!B81),"",Summary!E81)</f>
        <v/>
      </c>
      <c r="E75" s="96" t="str">
        <f aca="false">IF(ISBLANK(Summary!B81),"",IF(TRIM(SUBSTITUTE(B75," ",""))="นาย","ชาย",IF(TRIM(SUBSTITUTE(B75," ",""))="นาง","หญิง",IF(TRIM(SUBSTITUTE(B75," ",""))="นางสาว","หญิง",IF(TRIM(SUBSTITUTE(B75," ",""))="น.ส.","หญิง","ระบุคำนำหน้าใม่ถูก")))))</f>
        <v/>
      </c>
      <c r="F75" s="94" t="str">
        <f aca="false">IF(ISBLANK(Summary!B81),"",Summary!F81)</f>
        <v/>
      </c>
      <c r="G75" s="96" t="str">
        <f aca="false">IF(ISBLANK(Summary!B81),"",IF(Summary!Q81="passed","ผ่าน",IF(Summary!Q81="fail","ไม่ผ่าน","")))</f>
        <v/>
      </c>
      <c r="H75" s="96" t="str">
        <f aca="false">IF(ISBLANK(Summary!B81),"",CONCATENATE(Summary!G81,Summary!H81,Summary!I81,Summary!J81,Summary!K81,N75))</f>
        <v/>
      </c>
      <c r="I75" s="97" t="str">
        <f aca="false">IF(ISBLANK(Summary!B81),"",IF(LEN(A75)=13,IF(RIGHT(11-MOD(MID(A75,1,1)*13+MID(A75,2,1)*12+MID(A75,3,1)*11+MID(A75,4,1)*10+MID(A75,5,1)*9+MID(A75,6,1)*8+MID(A75,7,1)*7+MID(A75,8,1)*6+MID(A75,9,1)*5+MID(A75,10,1)*4+MID(A75,11,1)*3+MID(A75,12,1)*2,11))=RIGHT(A75),"ถูกต้อง","ผิด "),"ไม่ครบ13หลัก"))</f>
        <v/>
      </c>
      <c r="J75" s="102"/>
      <c r="K75" s="102"/>
      <c r="L75" s="99" t="n">
        <f aca="false">Summary!N81</f>
        <v>0</v>
      </c>
      <c r="N75" s="0" t="n">
        <f aca="false">IF(L75="less than 10,000 (น้อยกว่า 10,000)",1,IF(L75="10,001-20,000",2,IF(L75="20,001-30,000",3,IF(L75="30,001-40,000",4,IF(L75="40,001-50,000",5,IF(L75="more than 50,001 (มากกว่า 50,001)",6,7))))))</f>
        <v>7</v>
      </c>
    </row>
    <row r="76" customFormat="false" ht="19.5" hidden="false" customHeight="true" outlineLevel="0" collapsed="false">
      <c r="A76" s="93" t="str">
        <f aca="false">IF(ISBLANK(Summary!B82),"",Summary!B82)</f>
        <v/>
      </c>
      <c r="B76" s="94" t="str">
        <f aca="false">IF(ISBLANK(Summary!B82),"",Summary!C82)</f>
        <v/>
      </c>
      <c r="C76" s="95" t="str">
        <f aca="false">IF(ISBLANK(Summary!B82),"",Summary!D82)</f>
        <v/>
      </c>
      <c r="D76" s="95" t="str">
        <f aca="false">IF(ISBLANK(Summary!B82),"",Summary!E82)</f>
        <v/>
      </c>
      <c r="E76" s="96" t="str">
        <f aca="false">IF(ISBLANK(Summary!B82),"",IF(TRIM(SUBSTITUTE(B76," ",""))="นาย","ชาย",IF(TRIM(SUBSTITUTE(B76," ",""))="นาง","หญิง",IF(TRIM(SUBSTITUTE(B76," ",""))="นางสาว","หญิง",IF(TRIM(SUBSTITUTE(B76," ",""))="น.ส.","หญิง","ระบุคำนำหน้าใม่ถูก")))))</f>
        <v/>
      </c>
      <c r="F76" s="94" t="str">
        <f aca="false">IF(ISBLANK(Summary!B82),"",Summary!F82)</f>
        <v/>
      </c>
      <c r="G76" s="96" t="str">
        <f aca="false">IF(ISBLANK(Summary!B82),"",IF(Summary!Q82="passed","ผ่าน",IF(Summary!Q82="fail","ไม่ผ่าน","")))</f>
        <v/>
      </c>
      <c r="H76" s="96" t="str">
        <f aca="false">IF(ISBLANK(Summary!B82),"",CONCATENATE(Summary!G82,Summary!H82,Summary!I82,Summary!J82,Summary!K82,N76))</f>
        <v/>
      </c>
      <c r="I76" s="97" t="str">
        <f aca="false">IF(ISBLANK(Summary!B82),"",IF(LEN(A76)=13,IF(RIGHT(11-MOD(MID(A76,1,1)*13+MID(A76,2,1)*12+MID(A76,3,1)*11+MID(A76,4,1)*10+MID(A76,5,1)*9+MID(A76,6,1)*8+MID(A76,7,1)*7+MID(A76,8,1)*6+MID(A76,9,1)*5+MID(A76,10,1)*4+MID(A76,11,1)*3+MID(A76,12,1)*2,11))=RIGHT(A76),"ถูกต้อง","ผิด "),"ไม่ครบ13หลัก"))</f>
        <v/>
      </c>
      <c r="J76" s="102"/>
      <c r="K76" s="102"/>
      <c r="L76" s="99" t="n">
        <f aca="false">Summary!N82</f>
        <v>0</v>
      </c>
      <c r="N76" s="0" t="n">
        <f aca="false">IF(L76="less than 10,000 (น้อยกว่า 10,000)",1,IF(L76="10,001-20,000",2,IF(L76="20,001-30,000",3,IF(L76="30,001-40,000",4,IF(L76="40,001-50,000",5,IF(L76="more than 50,001 (มากกว่า 50,001)",6,7))))))</f>
        <v>7</v>
      </c>
    </row>
    <row r="77" customFormat="false" ht="19.5" hidden="false" customHeight="true" outlineLevel="0" collapsed="false">
      <c r="A77" s="93" t="str">
        <f aca="false">IF(ISBLANK(Summary!B83),"",Summary!B83)</f>
        <v/>
      </c>
      <c r="B77" s="94" t="str">
        <f aca="false">IF(ISBLANK(Summary!B83),"",Summary!C83)</f>
        <v/>
      </c>
      <c r="C77" s="95" t="str">
        <f aca="false">IF(ISBLANK(Summary!B83),"",Summary!D83)</f>
        <v/>
      </c>
      <c r="D77" s="95" t="str">
        <f aca="false">IF(ISBLANK(Summary!B83),"",Summary!E83)</f>
        <v/>
      </c>
      <c r="E77" s="96" t="str">
        <f aca="false">IF(ISBLANK(Summary!B83),"",IF(TRIM(SUBSTITUTE(B77," ",""))="นาย","ชาย",IF(TRIM(SUBSTITUTE(B77," ",""))="นาง","หญิง",IF(TRIM(SUBSTITUTE(B77," ",""))="นางสาว","หญิง",IF(TRIM(SUBSTITUTE(B77," ",""))="น.ส.","หญิง","ระบุคำนำหน้าใม่ถูก")))))</f>
        <v/>
      </c>
      <c r="F77" s="94" t="str">
        <f aca="false">IF(ISBLANK(Summary!B83),"",Summary!F83)</f>
        <v/>
      </c>
      <c r="G77" s="96" t="str">
        <f aca="false">IF(ISBLANK(Summary!B83),"",IF(Summary!Q83="passed","ผ่าน",IF(Summary!Q83="fail","ไม่ผ่าน","")))</f>
        <v/>
      </c>
      <c r="H77" s="96" t="str">
        <f aca="false">IF(ISBLANK(Summary!B83),"",CONCATENATE(Summary!G83,Summary!H83,Summary!I83,Summary!J83,Summary!K83,N77))</f>
        <v/>
      </c>
      <c r="I77" s="97" t="str">
        <f aca="false">IF(ISBLANK(Summary!B83),"",IF(LEN(A77)=13,IF(RIGHT(11-MOD(MID(A77,1,1)*13+MID(A77,2,1)*12+MID(A77,3,1)*11+MID(A77,4,1)*10+MID(A77,5,1)*9+MID(A77,6,1)*8+MID(A77,7,1)*7+MID(A77,8,1)*6+MID(A77,9,1)*5+MID(A77,10,1)*4+MID(A77,11,1)*3+MID(A77,12,1)*2,11))=RIGHT(A77),"ถูกต้อง","ผิด "),"ไม่ครบ13หลัก"))</f>
        <v/>
      </c>
      <c r="J77" s="102"/>
      <c r="K77" s="102"/>
      <c r="L77" s="99" t="n">
        <f aca="false">Summary!N83</f>
        <v>0</v>
      </c>
      <c r="N77" s="0" t="n">
        <f aca="false">IF(L77="less than 10,000 (น้อยกว่า 10,000)",1,IF(L77="10,001-20,000",2,IF(L77="20,001-30,000",3,IF(L77="30,001-40,000",4,IF(L77="40,001-50,000",5,IF(L77="more than 50,001 (มากกว่า 50,001)",6,7))))))</f>
        <v>7</v>
      </c>
    </row>
    <row r="78" customFormat="false" ht="19.5" hidden="false" customHeight="true" outlineLevel="0" collapsed="false">
      <c r="A78" s="93" t="str">
        <f aca="false">IF(ISBLANK(Summary!B84),"",Summary!B84)</f>
        <v/>
      </c>
      <c r="B78" s="94" t="str">
        <f aca="false">IF(ISBLANK(Summary!B84),"",Summary!C84)</f>
        <v/>
      </c>
      <c r="C78" s="95" t="str">
        <f aca="false">IF(ISBLANK(Summary!B84),"",Summary!D84)</f>
        <v/>
      </c>
      <c r="D78" s="95" t="str">
        <f aca="false">IF(ISBLANK(Summary!B84),"",Summary!E84)</f>
        <v/>
      </c>
      <c r="E78" s="96" t="str">
        <f aca="false">IF(ISBLANK(Summary!B84),"",IF(TRIM(SUBSTITUTE(B78," ",""))="นาย","ชาย",IF(TRIM(SUBSTITUTE(B78," ",""))="นาง","หญิง",IF(TRIM(SUBSTITUTE(B78," ",""))="นางสาว","หญิง",IF(TRIM(SUBSTITUTE(B78," ",""))="น.ส.","หญิง","ระบุคำนำหน้าใม่ถูก")))))</f>
        <v/>
      </c>
      <c r="F78" s="94" t="str">
        <f aca="false">IF(ISBLANK(Summary!B84),"",Summary!F84)</f>
        <v/>
      </c>
      <c r="G78" s="96" t="str">
        <f aca="false">IF(ISBLANK(Summary!B84),"",IF(Summary!Q84="passed","ผ่าน",IF(Summary!Q84="fail","ไม่ผ่าน","")))</f>
        <v/>
      </c>
      <c r="H78" s="96" t="str">
        <f aca="false">IF(ISBLANK(Summary!B84),"",CONCATENATE(Summary!G84,Summary!H84,Summary!I84,Summary!J84,Summary!K84,N78))</f>
        <v/>
      </c>
      <c r="I78" s="97" t="str">
        <f aca="false">IF(ISBLANK(Summary!B84),"",IF(LEN(A78)=13,IF(RIGHT(11-MOD(MID(A78,1,1)*13+MID(A78,2,1)*12+MID(A78,3,1)*11+MID(A78,4,1)*10+MID(A78,5,1)*9+MID(A78,6,1)*8+MID(A78,7,1)*7+MID(A78,8,1)*6+MID(A78,9,1)*5+MID(A78,10,1)*4+MID(A78,11,1)*3+MID(A78,12,1)*2,11))=RIGHT(A78),"ถูกต้อง","ผิด "),"ไม่ครบ13หลัก"))</f>
        <v/>
      </c>
      <c r="J78" s="102"/>
      <c r="K78" s="102"/>
      <c r="L78" s="99" t="n">
        <f aca="false">Summary!N84</f>
        <v>0</v>
      </c>
      <c r="N78" s="0" t="n">
        <f aca="false">IF(L78="less than 10,000 (น้อยกว่า 10,000)",1,IF(L78="10,001-20,000",2,IF(L78="20,001-30,000",3,IF(L78="30,001-40,000",4,IF(L78="40,001-50,000",5,IF(L78="more than 50,001 (มากกว่า 50,001)",6,7))))))</f>
        <v>7</v>
      </c>
    </row>
    <row r="79" customFormat="false" ht="19.5" hidden="false" customHeight="true" outlineLevel="0" collapsed="false">
      <c r="A79" s="93" t="str">
        <f aca="false">IF(ISBLANK(Summary!B85),"",Summary!B85)</f>
        <v/>
      </c>
      <c r="B79" s="94" t="str">
        <f aca="false">IF(ISBLANK(Summary!B85),"",Summary!C85)</f>
        <v/>
      </c>
      <c r="C79" s="95" t="str">
        <f aca="false">IF(ISBLANK(Summary!B85),"",Summary!D85)</f>
        <v/>
      </c>
      <c r="D79" s="95" t="str">
        <f aca="false">IF(ISBLANK(Summary!B85),"",Summary!E85)</f>
        <v/>
      </c>
      <c r="E79" s="96" t="str">
        <f aca="false">IF(ISBLANK(Summary!B85),"",IF(TRIM(SUBSTITUTE(B79," ",""))="นาย","ชาย",IF(TRIM(SUBSTITUTE(B79," ",""))="นาง","หญิง",IF(TRIM(SUBSTITUTE(B79," ",""))="นางสาว","หญิง",IF(TRIM(SUBSTITUTE(B79," ",""))="น.ส.","หญิง","ระบุคำนำหน้าใม่ถูก")))))</f>
        <v/>
      </c>
      <c r="F79" s="94" t="str">
        <f aca="false">IF(ISBLANK(Summary!B85),"",Summary!F85)</f>
        <v/>
      </c>
      <c r="G79" s="96" t="str">
        <f aca="false">IF(ISBLANK(Summary!B85),"",IF(Summary!Q85="passed","ผ่าน",IF(Summary!Q85="fail","ไม่ผ่าน","")))</f>
        <v/>
      </c>
      <c r="H79" s="96" t="str">
        <f aca="false">IF(ISBLANK(Summary!B85),"",CONCATENATE(Summary!G85,Summary!H85,Summary!I85,Summary!J85,Summary!K85,N79))</f>
        <v/>
      </c>
      <c r="I79" s="97" t="str">
        <f aca="false">IF(ISBLANK(Summary!B85),"",IF(LEN(A79)=13,IF(RIGHT(11-MOD(MID(A79,1,1)*13+MID(A79,2,1)*12+MID(A79,3,1)*11+MID(A79,4,1)*10+MID(A79,5,1)*9+MID(A79,6,1)*8+MID(A79,7,1)*7+MID(A79,8,1)*6+MID(A79,9,1)*5+MID(A79,10,1)*4+MID(A79,11,1)*3+MID(A79,12,1)*2,11))=RIGHT(A79),"ถูกต้อง","ผิด "),"ไม่ครบ13หลัก"))</f>
        <v/>
      </c>
      <c r="J79" s="102"/>
      <c r="K79" s="102"/>
      <c r="L79" s="99" t="n">
        <f aca="false">Summary!N85</f>
        <v>0</v>
      </c>
      <c r="N79" s="0" t="n">
        <f aca="false">IF(L79="less than 10,000 (น้อยกว่า 10,000)",1,IF(L79="10,001-20,000",2,IF(L79="20,001-30,000",3,IF(L79="30,001-40,000",4,IF(L79="40,001-50,000",5,IF(L79="more than 50,001 (มากกว่า 50,001)",6,7))))))</f>
        <v>7</v>
      </c>
    </row>
    <row r="80" customFormat="false" ht="19.5" hidden="false" customHeight="true" outlineLevel="0" collapsed="false">
      <c r="A80" s="93" t="str">
        <f aca="false">IF(ISBLANK(Summary!B86),"",Summary!B86)</f>
        <v/>
      </c>
      <c r="B80" s="94" t="str">
        <f aca="false">IF(ISBLANK(Summary!B86),"",Summary!C86)</f>
        <v/>
      </c>
      <c r="C80" s="95" t="str">
        <f aca="false">IF(ISBLANK(Summary!B86),"",Summary!D86)</f>
        <v/>
      </c>
      <c r="D80" s="95" t="str">
        <f aca="false">IF(ISBLANK(Summary!B86),"",Summary!E86)</f>
        <v/>
      </c>
      <c r="E80" s="96" t="str">
        <f aca="false">IF(ISBLANK(Summary!B86),"",IF(TRIM(SUBSTITUTE(B80," ",""))="นาย","ชาย",IF(TRIM(SUBSTITUTE(B80," ",""))="นาง","หญิง",IF(TRIM(SUBSTITUTE(B80," ",""))="นางสาว","หญิง",IF(TRIM(SUBSTITUTE(B80," ",""))="น.ส.","หญิง","ระบุคำนำหน้าใม่ถูก")))))</f>
        <v/>
      </c>
      <c r="F80" s="94" t="str">
        <f aca="false">IF(ISBLANK(Summary!B86),"",Summary!F86)</f>
        <v/>
      </c>
      <c r="G80" s="96" t="str">
        <f aca="false">IF(ISBLANK(Summary!B86),"",IF(Summary!Q86="passed","ผ่าน",IF(Summary!Q86="fail","ไม่ผ่าน","")))</f>
        <v/>
      </c>
      <c r="H80" s="96" t="str">
        <f aca="false">IF(ISBLANK(Summary!B86),"",CONCATENATE(Summary!G86,Summary!H86,Summary!I86,Summary!J86,Summary!K86,N80))</f>
        <v/>
      </c>
      <c r="I80" s="97" t="str">
        <f aca="false">IF(ISBLANK(Summary!B86),"",IF(LEN(A80)=13,IF(RIGHT(11-MOD(MID(A80,1,1)*13+MID(A80,2,1)*12+MID(A80,3,1)*11+MID(A80,4,1)*10+MID(A80,5,1)*9+MID(A80,6,1)*8+MID(A80,7,1)*7+MID(A80,8,1)*6+MID(A80,9,1)*5+MID(A80,10,1)*4+MID(A80,11,1)*3+MID(A80,12,1)*2,11))=RIGHT(A80),"ถูกต้อง","ผิด "),"ไม่ครบ13หลัก"))</f>
        <v/>
      </c>
      <c r="J80" s="102"/>
      <c r="K80" s="102"/>
      <c r="L80" s="99" t="n">
        <f aca="false">Summary!N86</f>
        <v>0</v>
      </c>
      <c r="N80" s="0" t="n">
        <f aca="false">IF(L80="less than 10,000 (น้อยกว่า 10,000)",1,IF(L80="10,001-20,000",2,IF(L80="20,001-30,000",3,IF(L80="30,001-40,000",4,IF(L80="40,001-50,000",5,IF(L80="more than 50,001 (มากกว่า 50,001)",6,7))))))</f>
        <v>7</v>
      </c>
    </row>
    <row r="81" customFormat="false" ht="19.5" hidden="false" customHeight="true" outlineLevel="0" collapsed="false">
      <c r="A81" s="93" t="str">
        <f aca="false">IF(ISBLANK(Summary!B87),"",Summary!B87)</f>
        <v/>
      </c>
      <c r="B81" s="94" t="str">
        <f aca="false">IF(ISBLANK(Summary!B87),"",Summary!C87)</f>
        <v/>
      </c>
      <c r="C81" s="95" t="str">
        <f aca="false">IF(ISBLANK(Summary!B87),"",Summary!D87)</f>
        <v/>
      </c>
      <c r="D81" s="95" t="str">
        <f aca="false">IF(ISBLANK(Summary!B87),"",Summary!E87)</f>
        <v/>
      </c>
      <c r="E81" s="96" t="str">
        <f aca="false">IF(ISBLANK(Summary!B87),"",IF(TRIM(SUBSTITUTE(B81," ",""))="นาย","ชาย",IF(TRIM(SUBSTITUTE(B81," ",""))="นาง","หญิง",IF(TRIM(SUBSTITUTE(B81," ",""))="นางสาว","หญิง",IF(TRIM(SUBSTITUTE(B81," ",""))="น.ส.","หญิง","ระบุคำนำหน้าใม่ถูก")))))</f>
        <v/>
      </c>
      <c r="F81" s="94" t="str">
        <f aca="false">IF(ISBLANK(Summary!B87),"",Summary!F87)</f>
        <v/>
      </c>
      <c r="G81" s="96" t="str">
        <f aca="false">IF(ISBLANK(Summary!B87),"",IF(Summary!Q87="passed","ผ่าน",IF(Summary!Q87="fail","ไม่ผ่าน","")))</f>
        <v/>
      </c>
      <c r="H81" s="96" t="str">
        <f aca="false">IF(ISBLANK(Summary!B87),"",CONCATENATE(Summary!G87,Summary!H87,Summary!I87,Summary!J87,Summary!K87,N81))</f>
        <v/>
      </c>
      <c r="I81" s="97" t="str">
        <f aca="false">IF(ISBLANK(Summary!B87),"",IF(LEN(A81)=13,IF(RIGHT(11-MOD(MID(A81,1,1)*13+MID(A81,2,1)*12+MID(A81,3,1)*11+MID(A81,4,1)*10+MID(A81,5,1)*9+MID(A81,6,1)*8+MID(A81,7,1)*7+MID(A81,8,1)*6+MID(A81,9,1)*5+MID(A81,10,1)*4+MID(A81,11,1)*3+MID(A81,12,1)*2,11))=RIGHT(A81),"ถูกต้อง","ผิด "),"ไม่ครบ13หลัก"))</f>
        <v/>
      </c>
      <c r="J81" s="102"/>
      <c r="K81" s="102"/>
      <c r="L81" s="99" t="n">
        <f aca="false">Summary!N87</f>
        <v>0</v>
      </c>
      <c r="N81" s="0" t="n">
        <f aca="false">IF(L81="less than 10,000 (น้อยกว่า 10,000)",1,IF(L81="10,001-20,000",2,IF(L81="20,001-30,000",3,IF(L81="30,001-40,000",4,IF(L81="40,001-50,000",5,IF(L81="more than 50,001 (มากกว่า 50,001)",6,7))))))</f>
        <v>7</v>
      </c>
    </row>
    <row r="82" customFormat="false" ht="19.5" hidden="false" customHeight="true" outlineLevel="0" collapsed="false">
      <c r="A82" s="93" t="str">
        <f aca="false">IF(ISBLANK(Summary!B88),"",Summary!B88)</f>
        <v/>
      </c>
      <c r="B82" s="94" t="str">
        <f aca="false">IF(ISBLANK(Summary!B88),"",Summary!C88)</f>
        <v/>
      </c>
      <c r="C82" s="95" t="str">
        <f aca="false">IF(ISBLANK(Summary!B88),"",Summary!D88)</f>
        <v/>
      </c>
      <c r="D82" s="95" t="str">
        <f aca="false">IF(ISBLANK(Summary!B88),"",Summary!E88)</f>
        <v/>
      </c>
      <c r="E82" s="96" t="str">
        <f aca="false">IF(ISBLANK(Summary!B88),"",IF(TRIM(SUBSTITUTE(B82," ",""))="นาย","ชาย",IF(TRIM(SUBSTITUTE(B82," ",""))="นาง","หญิง",IF(TRIM(SUBSTITUTE(B82," ",""))="นางสาว","หญิง",IF(TRIM(SUBSTITUTE(B82," ",""))="น.ส.","หญิง","ระบุคำนำหน้าใม่ถูก")))))</f>
        <v/>
      </c>
      <c r="F82" s="94" t="str">
        <f aca="false">IF(ISBLANK(Summary!B88),"",Summary!F88)</f>
        <v/>
      </c>
      <c r="G82" s="96" t="str">
        <f aca="false">IF(ISBLANK(Summary!B88),"",IF(Summary!Q88="passed","ผ่าน",IF(Summary!Q88="fail","ไม่ผ่าน","")))</f>
        <v/>
      </c>
      <c r="H82" s="96" t="str">
        <f aca="false">IF(ISBLANK(Summary!B88),"",CONCATENATE(Summary!G88,Summary!H88,Summary!I88,Summary!J88,Summary!K88,N82))</f>
        <v/>
      </c>
      <c r="I82" s="97" t="str">
        <f aca="false">IF(ISBLANK(Summary!B88),"",IF(LEN(A82)=13,IF(RIGHT(11-MOD(MID(A82,1,1)*13+MID(A82,2,1)*12+MID(A82,3,1)*11+MID(A82,4,1)*10+MID(A82,5,1)*9+MID(A82,6,1)*8+MID(A82,7,1)*7+MID(A82,8,1)*6+MID(A82,9,1)*5+MID(A82,10,1)*4+MID(A82,11,1)*3+MID(A82,12,1)*2,11))=RIGHT(A82),"ถูกต้อง","ผิด "),"ไม่ครบ13หลัก"))</f>
        <v/>
      </c>
      <c r="J82" s="102"/>
      <c r="K82" s="102"/>
      <c r="L82" s="99" t="n">
        <f aca="false">Summary!N88</f>
        <v>0</v>
      </c>
      <c r="N82" s="0" t="n">
        <f aca="false">IF(L82="less than 10,000 (น้อยกว่า 10,000)",1,IF(L82="10,001-20,000",2,IF(L82="20,001-30,000",3,IF(L82="30,001-40,000",4,IF(L82="40,001-50,000",5,IF(L82="more than 50,001 (มากกว่า 50,001)",6,7))))))</f>
        <v>7</v>
      </c>
    </row>
    <row r="83" customFormat="false" ht="19.5" hidden="false" customHeight="true" outlineLevel="0" collapsed="false">
      <c r="A83" s="93" t="str">
        <f aca="false">IF(ISBLANK(Summary!B89),"",Summary!B89)</f>
        <v/>
      </c>
      <c r="B83" s="94" t="str">
        <f aca="false">IF(ISBLANK(Summary!B89),"",Summary!C89)</f>
        <v/>
      </c>
      <c r="C83" s="95" t="str">
        <f aca="false">IF(ISBLANK(Summary!B89),"",Summary!D89)</f>
        <v/>
      </c>
      <c r="D83" s="95" t="str">
        <f aca="false">IF(ISBLANK(Summary!B89),"",Summary!E89)</f>
        <v/>
      </c>
      <c r="E83" s="96" t="str">
        <f aca="false">IF(ISBLANK(Summary!B89),"",IF(TRIM(SUBSTITUTE(B83," ",""))="นาย","ชาย",IF(TRIM(SUBSTITUTE(B83," ",""))="นาง","หญิง",IF(TRIM(SUBSTITUTE(B83," ",""))="นางสาว","หญิง",IF(TRIM(SUBSTITUTE(B83," ",""))="น.ส.","หญิง","ระบุคำนำหน้าใม่ถูก")))))</f>
        <v/>
      </c>
      <c r="F83" s="94" t="str">
        <f aca="false">IF(ISBLANK(Summary!B89),"",Summary!F89)</f>
        <v/>
      </c>
      <c r="G83" s="96" t="str">
        <f aca="false">IF(ISBLANK(Summary!B89),"",IF(Summary!Q89="passed","ผ่าน",IF(Summary!Q89="fail","ไม่ผ่าน","")))</f>
        <v/>
      </c>
      <c r="H83" s="96" t="str">
        <f aca="false">IF(ISBLANK(Summary!B89),"",CONCATENATE(Summary!G89,Summary!H89,Summary!I89,Summary!J89,Summary!K89,N83))</f>
        <v/>
      </c>
      <c r="I83" s="97" t="str">
        <f aca="false">IF(ISBLANK(Summary!B89),"",IF(LEN(A83)=13,IF(RIGHT(11-MOD(MID(A83,1,1)*13+MID(A83,2,1)*12+MID(A83,3,1)*11+MID(A83,4,1)*10+MID(A83,5,1)*9+MID(A83,6,1)*8+MID(A83,7,1)*7+MID(A83,8,1)*6+MID(A83,9,1)*5+MID(A83,10,1)*4+MID(A83,11,1)*3+MID(A83,12,1)*2,11))=RIGHT(A83),"ถูกต้อง","ผิด "),"ไม่ครบ13หลัก"))</f>
        <v/>
      </c>
      <c r="J83" s="102"/>
      <c r="K83" s="102"/>
      <c r="L83" s="99" t="n">
        <f aca="false">Summary!N89</f>
        <v>0</v>
      </c>
      <c r="N83" s="0" t="n">
        <f aca="false">IF(L83="less than 10,000 (น้อยกว่า 10,000)",1,IF(L83="10,001-20,000",2,IF(L83="20,001-30,000",3,IF(L83="30,001-40,000",4,IF(L83="40,001-50,000",5,IF(L83="more than 50,001 (มากกว่า 50,001)",6,7))))))</f>
        <v>7</v>
      </c>
    </row>
    <row r="84" customFormat="false" ht="19.5" hidden="false" customHeight="true" outlineLevel="0" collapsed="false">
      <c r="A84" s="93" t="str">
        <f aca="false">IF(ISBLANK(Summary!B90),"",Summary!B90)</f>
        <v/>
      </c>
      <c r="B84" s="94" t="str">
        <f aca="false">IF(ISBLANK(Summary!B90),"",Summary!C90)</f>
        <v/>
      </c>
      <c r="C84" s="95" t="str">
        <f aca="false">IF(ISBLANK(Summary!B90),"",Summary!D90)</f>
        <v/>
      </c>
      <c r="D84" s="95" t="str">
        <f aca="false">IF(ISBLANK(Summary!B90),"",Summary!E90)</f>
        <v/>
      </c>
      <c r="E84" s="96" t="str">
        <f aca="false">IF(ISBLANK(Summary!B90),"",IF(TRIM(SUBSTITUTE(B84," ",""))="นาย","ชาย",IF(TRIM(SUBSTITUTE(B84," ",""))="นาง","หญิง",IF(TRIM(SUBSTITUTE(B84," ",""))="นางสาว","หญิง",IF(TRIM(SUBSTITUTE(B84," ",""))="น.ส.","หญิง","ระบุคำนำหน้าใม่ถูก")))))</f>
        <v/>
      </c>
      <c r="F84" s="94" t="str">
        <f aca="false">IF(ISBLANK(Summary!B90),"",Summary!F90)</f>
        <v/>
      </c>
      <c r="G84" s="96" t="str">
        <f aca="false">IF(ISBLANK(Summary!B90),"",IF(Summary!Q90="passed","ผ่าน",IF(Summary!Q90="fail","ไม่ผ่าน","")))</f>
        <v/>
      </c>
      <c r="H84" s="96" t="str">
        <f aca="false">IF(ISBLANK(Summary!B90),"",CONCATENATE(Summary!G90,Summary!H90,Summary!I90,Summary!J90,Summary!K90,N84))</f>
        <v/>
      </c>
      <c r="I84" s="97" t="str">
        <f aca="false">IF(ISBLANK(Summary!B90),"",IF(LEN(A84)=13,IF(RIGHT(11-MOD(MID(A84,1,1)*13+MID(A84,2,1)*12+MID(A84,3,1)*11+MID(A84,4,1)*10+MID(A84,5,1)*9+MID(A84,6,1)*8+MID(A84,7,1)*7+MID(A84,8,1)*6+MID(A84,9,1)*5+MID(A84,10,1)*4+MID(A84,11,1)*3+MID(A84,12,1)*2,11))=RIGHT(A84),"ถูกต้อง","ผิด "),"ไม่ครบ13หลัก"))</f>
        <v/>
      </c>
      <c r="J84" s="102"/>
      <c r="K84" s="102"/>
      <c r="L84" s="99" t="n">
        <f aca="false">Summary!N90</f>
        <v>0</v>
      </c>
      <c r="N84" s="0" t="n">
        <f aca="false">IF(L84="less than 10,000 (น้อยกว่า 10,000)",1,IF(L84="10,001-20,000",2,IF(L84="20,001-30,000",3,IF(L84="30,001-40,000",4,IF(L84="40,001-50,000",5,IF(L84="more than 50,001 (มากกว่า 50,001)",6,7))))))</f>
        <v>7</v>
      </c>
    </row>
    <row r="85" customFormat="false" ht="19.5" hidden="false" customHeight="true" outlineLevel="0" collapsed="false">
      <c r="A85" s="93" t="str">
        <f aca="false">IF(ISBLANK(Summary!B91),"",Summary!B91)</f>
        <v/>
      </c>
      <c r="B85" s="94" t="str">
        <f aca="false">IF(ISBLANK(Summary!B91),"",Summary!C91)</f>
        <v/>
      </c>
      <c r="C85" s="95" t="str">
        <f aca="false">IF(ISBLANK(Summary!B91),"",Summary!D91)</f>
        <v/>
      </c>
      <c r="D85" s="95" t="str">
        <f aca="false">IF(ISBLANK(Summary!B91),"",Summary!E91)</f>
        <v/>
      </c>
      <c r="E85" s="96" t="str">
        <f aca="false">IF(ISBLANK(Summary!B91),"",IF(TRIM(SUBSTITUTE(B85," ",""))="นาย","ชาย",IF(TRIM(SUBSTITUTE(B85," ",""))="นาง","หญิง",IF(TRIM(SUBSTITUTE(B85," ",""))="นางสาว","หญิง",IF(TRIM(SUBSTITUTE(B85," ",""))="น.ส.","หญิง","ระบุคำนำหน้าใม่ถูก")))))</f>
        <v/>
      </c>
      <c r="F85" s="94" t="str">
        <f aca="false">IF(ISBLANK(Summary!B91),"",Summary!F91)</f>
        <v/>
      </c>
      <c r="G85" s="96" t="str">
        <f aca="false">IF(ISBLANK(Summary!B91),"",IF(Summary!Q91="passed","ผ่าน",IF(Summary!Q91="fail","ไม่ผ่าน","")))</f>
        <v/>
      </c>
      <c r="H85" s="96" t="str">
        <f aca="false">IF(ISBLANK(Summary!B91),"",CONCATENATE(Summary!G91,Summary!H91,Summary!I91,Summary!J91,Summary!K91,N85))</f>
        <v/>
      </c>
      <c r="I85" s="97" t="str">
        <f aca="false">IF(ISBLANK(Summary!B91),"",IF(LEN(A85)=13,IF(RIGHT(11-MOD(MID(A85,1,1)*13+MID(A85,2,1)*12+MID(A85,3,1)*11+MID(A85,4,1)*10+MID(A85,5,1)*9+MID(A85,6,1)*8+MID(A85,7,1)*7+MID(A85,8,1)*6+MID(A85,9,1)*5+MID(A85,10,1)*4+MID(A85,11,1)*3+MID(A85,12,1)*2,11))=RIGHT(A85),"ถูกต้อง","ผิด "),"ไม่ครบ13หลัก"))</f>
        <v/>
      </c>
      <c r="J85" s="102"/>
      <c r="K85" s="102"/>
      <c r="L85" s="99" t="n">
        <f aca="false">Summary!N91</f>
        <v>0</v>
      </c>
      <c r="N85" s="0" t="n">
        <f aca="false">IF(L85="less than 10,000 (น้อยกว่า 10,000)",1,IF(L85="10,001-20,000",2,IF(L85="20,001-30,000",3,IF(L85="30,001-40,000",4,IF(L85="40,001-50,000",5,IF(L85="more than 50,001 (มากกว่า 50,001)",6,7))))))</f>
        <v>7</v>
      </c>
    </row>
    <row r="86" customFormat="false" ht="19.5" hidden="false" customHeight="true" outlineLevel="0" collapsed="false">
      <c r="A86" s="93" t="str">
        <f aca="false">IF(ISBLANK(Summary!B92),"",Summary!B92)</f>
        <v/>
      </c>
      <c r="B86" s="94" t="str">
        <f aca="false">IF(ISBLANK(Summary!B92),"",Summary!C92)</f>
        <v/>
      </c>
      <c r="C86" s="95" t="str">
        <f aca="false">IF(ISBLANK(Summary!B92),"",Summary!D92)</f>
        <v/>
      </c>
      <c r="D86" s="95" t="str">
        <f aca="false">IF(ISBLANK(Summary!B92),"",Summary!E92)</f>
        <v/>
      </c>
      <c r="E86" s="96" t="str">
        <f aca="false">IF(ISBLANK(Summary!B92),"",IF(TRIM(SUBSTITUTE(B86," ",""))="นาย","ชาย",IF(TRIM(SUBSTITUTE(B86," ",""))="นาง","หญิง",IF(TRIM(SUBSTITUTE(B86," ",""))="นางสาว","หญิง",IF(TRIM(SUBSTITUTE(B86," ",""))="น.ส.","หญิง","ระบุคำนำหน้าใม่ถูก")))))</f>
        <v/>
      </c>
      <c r="F86" s="94" t="str">
        <f aca="false">IF(ISBLANK(Summary!B92),"",Summary!F92)</f>
        <v/>
      </c>
      <c r="G86" s="96" t="str">
        <f aca="false">IF(ISBLANK(Summary!B92),"",IF(Summary!Q92="passed","ผ่าน",IF(Summary!Q92="fail","ไม่ผ่าน","")))</f>
        <v/>
      </c>
      <c r="H86" s="96" t="str">
        <f aca="false">IF(ISBLANK(Summary!B92),"",CONCATENATE(Summary!G92,Summary!H92,Summary!I92,Summary!J92,Summary!K92,N86))</f>
        <v/>
      </c>
      <c r="I86" s="97" t="str">
        <f aca="false">IF(ISBLANK(Summary!B92),"",IF(LEN(A86)=13,IF(RIGHT(11-MOD(MID(A86,1,1)*13+MID(A86,2,1)*12+MID(A86,3,1)*11+MID(A86,4,1)*10+MID(A86,5,1)*9+MID(A86,6,1)*8+MID(A86,7,1)*7+MID(A86,8,1)*6+MID(A86,9,1)*5+MID(A86,10,1)*4+MID(A86,11,1)*3+MID(A86,12,1)*2,11))=RIGHT(A86),"ถูกต้อง","ผิด "),"ไม่ครบ13หลัก"))</f>
        <v/>
      </c>
      <c r="J86" s="102"/>
      <c r="K86" s="102"/>
      <c r="L86" s="99" t="n">
        <f aca="false">Summary!N92</f>
        <v>0</v>
      </c>
      <c r="N86" s="0" t="n">
        <f aca="false">IF(L86="less than 10,000 (น้อยกว่า 10,000)",1,IF(L86="10,001-20,000",2,IF(L86="20,001-30,000",3,IF(L86="30,001-40,000",4,IF(L86="40,001-50,000",5,IF(L86="more than 50,001 (มากกว่า 50,001)",6,7))))))</f>
        <v>7</v>
      </c>
    </row>
    <row r="87" customFormat="false" ht="19.5" hidden="false" customHeight="true" outlineLevel="0" collapsed="false">
      <c r="A87" s="93" t="str">
        <f aca="false">IF(ISBLANK(Summary!B93),"",Summary!B93)</f>
        <v/>
      </c>
      <c r="B87" s="94" t="str">
        <f aca="false">IF(ISBLANK(Summary!B93),"",Summary!C93)</f>
        <v/>
      </c>
      <c r="C87" s="95" t="str">
        <f aca="false">IF(ISBLANK(Summary!B93),"",Summary!D93)</f>
        <v/>
      </c>
      <c r="D87" s="95" t="str">
        <f aca="false">IF(ISBLANK(Summary!B93),"",Summary!E93)</f>
        <v/>
      </c>
      <c r="E87" s="96" t="str">
        <f aca="false">IF(ISBLANK(Summary!B93),"",IF(TRIM(SUBSTITUTE(B87," ",""))="นาย","ชาย",IF(TRIM(SUBSTITUTE(B87," ",""))="นาง","หญิง",IF(TRIM(SUBSTITUTE(B87," ",""))="นางสาว","หญิง",IF(TRIM(SUBSTITUTE(B87," ",""))="น.ส.","หญิง","ระบุคำนำหน้าใม่ถูก")))))</f>
        <v/>
      </c>
      <c r="F87" s="94" t="str">
        <f aca="false">IF(ISBLANK(Summary!B93),"",Summary!F93)</f>
        <v/>
      </c>
      <c r="G87" s="96" t="str">
        <f aca="false">IF(ISBLANK(Summary!B93),"",IF(Summary!Q93="passed","ผ่าน",IF(Summary!Q93="fail","ไม่ผ่าน","")))</f>
        <v/>
      </c>
      <c r="H87" s="96" t="str">
        <f aca="false">IF(ISBLANK(Summary!B93),"",CONCATENATE(Summary!G93,Summary!H93,Summary!I93,Summary!J93,Summary!K93,N87))</f>
        <v/>
      </c>
      <c r="I87" s="97" t="str">
        <f aca="false">IF(ISBLANK(Summary!B93),"",IF(LEN(A87)=13,IF(RIGHT(11-MOD(MID(A87,1,1)*13+MID(A87,2,1)*12+MID(A87,3,1)*11+MID(A87,4,1)*10+MID(A87,5,1)*9+MID(A87,6,1)*8+MID(A87,7,1)*7+MID(A87,8,1)*6+MID(A87,9,1)*5+MID(A87,10,1)*4+MID(A87,11,1)*3+MID(A87,12,1)*2,11))=RIGHT(A87),"ถูกต้อง","ผิด "),"ไม่ครบ13หลัก"))</f>
        <v/>
      </c>
      <c r="J87" s="102"/>
      <c r="K87" s="102"/>
      <c r="L87" s="99" t="n">
        <f aca="false">Summary!N93</f>
        <v>0</v>
      </c>
      <c r="N87" s="0" t="n">
        <f aca="false">IF(L87="less than 10,000 (น้อยกว่า 10,000)",1,IF(L87="10,001-20,000",2,IF(L87="20,001-30,000",3,IF(L87="30,001-40,000",4,IF(L87="40,001-50,000",5,IF(L87="more than 50,001 (มากกว่า 50,001)",6,7))))))</f>
        <v>7</v>
      </c>
    </row>
    <row r="88" customFormat="false" ht="19.5" hidden="false" customHeight="true" outlineLevel="0" collapsed="false">
      <c r="A88" s="93" t="str">
        <f aca="false">IF(ISBLANK(Summary!B94),"",Summary!B94)</f>
        <v/>
      </c>
      <c r="B88" s="94" t="str">
        <f aca="false">IF(ISBLANK(Summary!B94),"",Summary!C94)</f>
        <v/>
      </c>
      <c r="C88" s="95" t="str">
        <f aca="false">IF(ISBLANK(Summary!B94),"",Summary!D94)</f>
        <v/>
      </c>
      <c r="D88" s="95" t="str">
        <f aca="false">IF(ISBLANK(Summary!B94),"",Summary!E94)</f>
        <v/>
      </c>
      <c r="E88" s="96" t="str">
        <f aca="false">IF(ISBLANK(Summary!B94),"",IF(TRIM(SUBSTITUTE(B88," ",""))="นาย","ชาย",IF(TRIM(SUBSTITUTE(B88," ",""))="นาง","หญิง",IF(TRIM(SUBSTITUTE(B88," ",""))="นางสาว","หญิง",IF(TRIM(SUBSTITUTE(B88," ",""))="น.ส.","หญิง","ระบุคำนำหน้าใม่ถูก")))))</f>
        <v/>
      </c>
      <c r="F88" s="94" t="str">
        <f aca="false">IF(ISBLANK(Summary!B94),"",Summary!F94)</f>
        <v/>
      </c>
      <c r="G88" s="96" t="str">
        <f aca="false">IF(ISBLANK(Summary!B94),"",IF(Summary!Q94="passed","ผ่าน",IF(Summary!Q94="fail","ไม่ผ่าน","")))</f>
        <v/>
      </c>
      <c r="H88" s="96" t="str">
        <f aca="false">IF(ISBLANK(Summary!B94),"",CONCATENATE(Summary!G94,Summary!H94,Summary!I94,Summary!J94,Summary!K94,N88))</f>
        <v/>
      </c>
      <c r="I88" s="97" t="str">
        <f aca="false">IF(ISBLANK(Summary!B94),"",IF(LEN(A88)=13,IF(RIGHT(11-MOD(MID(A88,1,1)*13+MID(A88,2,1)*12+MID(A88,3,1)*11+MID(A88,4,1)*10+MID(A88,5,1)*9+MID(A88,6,1)*8+MID(A88,7,1)*7+MID(A88,8,1)*6+MID(A88,9,1)*5+MID(A88,10,1)*4+MID(A88,11,1)*3+MID(A88,12,1)*2,11))=RIGHT(A88),"ถูกต้อง","ผิด "),"ไม่ครบ13หลัก"))</f>
        <v/>
      </c>
      <c r="J88" s="102"/>
      <c r="K88" s="102"/>
      <c r="L88" s="99" t="n">
        <f aca="false">Summary!N94</f>
        <v>0</v>
      </c>
      <c r="N88" s="0" t="n">
        <f aca="false">IF(L88="less than 10,000 (น้อยกว่า 10,000)",1,IF(L88="10,001-20,000",2,IF(L88="20,001-30,000",3,IF(L88="30,001-40,000",4,IF(L88="40,001-50,000",5,IF(L88="more than 50,001 (มากกว่า 50,001)",6,7))))))</f>
        <v>7</v>
      </c>
    </row>
    <row r="89" customFormat="false" ht="19.5" hidden="false" customHeight="true" outlineLevel="0" collapsed="false">
      <c r="A89" s="93" t="str">
        <f aca="false">IF(ISBLANK(Summary!B95),"",Summary!B95)</f>
        <v/>
      </c>
      <c r="B89" s="94" t="str">
        <f aca="false">IF(ISBLANK(Summary!B95),"",Summary!C95)</f>
        <v/>
      </c>
      <c r="C89" s="95" t="str">
        <f aca="false">IF(ISBLANK(Summary!B95),"",Summary!D95)</f>
        <v/>
      </c>
      <c r="D89" s="95" t="str">
        <f aca="false">IF(ISBLANK(Summary!B95),"",Summary!E95)</f>
        <v/>
      </c>
      <c r="E89" s="96" t="str">
        <f aca="false">IF(ISBLANK(Summary!B95),"",IF(TRIM(SUBSTITUTE(B89," ",""))="นาย","ชาย",IF(TRIM(SUBSTITUTE(B89," ",""))="นาง","หญิง",IF(TRIM(SUBSTITUTE(B89," ",""))="นางสาว","หญิง",IF(TRIM(SUBSTITUTE(B89," ",""))="น.ส.","หญิง","ระบุคำนำหน้าใม่ถูก")))))</f>
        <v/>
      </c>
      <c r="F89" s="94" t="str">
        <f aca="false">IF(ISBLANK(Summary!B95),"",Summary!F95)</f>
        <v/>
      </c>
      <c r="G89" s="96" t="str">
        <f aca="false">IF(ISBLANK(Summary!B95),"",IF(Summary!Q95="passed","ผ่าน",IF(Summary!Q95="fail","ไม่ผ่าน","")))</f>
        <v/>
      </c>
      <c r="H89" s="96" t="str">
        <f aca="false">IF(ISBLANK(Summary!B95),"",CONCATENATE(Summary!G95,Summary!H95,Summary!I95,Summary!J95,Summary!K95,N89))</f>
        <v/>
      </c>
      <c r="I89" s="97" t="str">
        <f aca="false">IF(ISBLANK(Summary!B95),"",IF(LEN(A89)=13,IF(RIGHT(11-MOD(MID(A89,1,1)*13+MID(A89,2,1)*12+MID(A89,3,1)*11+MID(A89,4,1)*10+MID(A89,5,1)*9+MID(A89,6,1)*8+MID(A89,7,1)*7+MID(A89,8,1)*6+MID(A89,9,1)*5+MID(A89,10,1)*4+MID(A89,11,1)*3+MID(A89,12,1)*2,11))=RIGHT(A89),"ถูกต้อง","ผิด "),"ไม่ครบ13หลัก"))</f>
        <v/>
      </c>
      <c r="J89" s="102"/>
      <c r="K89" s="102"/>
      <c r="L89" s="99" t="n">
        <f aca="false">Summary!N95</f>
        <v>0</v>
      </c>
      <c r="N89" s="0" t="n">
        <f aca="false">IF(L89="less than 10,000 (น้อยกว่า 10,000)",1,IF(L89="10,001-20,000",2,IF(L89="20,001-30,000",3,IF(L89="30,001-40,000",4,IF(L89="40,001-50,000",5,IF(L89="more than 50,001 (มากกว่า 50,001)",6,7))))))</f>
        <v>7</v>
      </c>
    </row>
    <row r="90" customFormat="false" ht="19.5" hidden="false" customHeight="true" outlineLevel="0" collapsed="false">
      <c r="A90" s="93" t="str">
        <f aca="false">IF(ISBLANK(Summary!B96),"",Summary!B96)</f>
        <v/>
      </c>
      <c r="B90" s="94" t="str">
        <f aca="false">IF(ISBLANK(Summary!B96),"",Summary!C96)</f>
        <v/>
      </c>
      <c r="C90" s="95" t="str">
        <f aca="false">IF(ISBLANK(Summary!B96),"",Summary!D96)</f>
        <v/>
      </c>
      <c r="D90" s="95" t="str">
        <f aca="false">IF(ISBLANK(Summary!B96),"",Summary!E96)</f>
        <v/>
      </c>
      <c r="E90" s="96" t="str">
        <f aca="false">IF(ISBLANK(Summary!B96),"",IF(TRIM(SUBSTITUTE(B90," ",""))="นาย","ชาย",IF(TRIM(SUBSTITUTE(B90," ",""))="นาง","หญิง",IF(TRIM(SUBSTITUTE(B90," ",""))="นางสาว","หญิง",IF(TRIM(SUBSTITUTE(B90," ",""))="น.ส.","หญิง","ระบุคำนำหน้าใม่ถูก")))))</f>
        <v/>
      </c>
      <c r="F90" s="94" t="str">
        <f aca="false">IF(ISBLANK(Summary!B96),"",Summary!F96)</f>
        <v/>
      </c>
      <c r="G90" s="96" t="str">
        <f aca="false">IF(ISBLANK(Summary!B96),"",IF(Summary!Q96="passed","ผ่าน",IF(Summary!Q96="fail","ไม่ผ่าน","")))</f>
        <v/>
      </c>
      <c r="H90" s="96" t="str">
        <f aca="false">IF(ISBLANK(Summary!B96),"",CONCATENATE(Summary!G96,Summary!H96,Summary!I96,Summary!J96,Summary!K96,N90))</f>
        <v/>
      </c>
      <c r="I90" s="97" t="str">
        <f aca="false">IF(ISBLANK(Summary!B96),"",IF(LEN(A90)=13,IF(RIGHT(11-MOD(MID(A90,1,1)*13+MID(A90,2,1)*12+MID(A90,3,1)*11+MID(A90,4,1)*10+MID(A90,5,1)*9+MID(A90,6,1)*8+MID(A90,7,1)*7+MID(A90,8,1)*6+MID(A90,9,1)*5+MID(A90,10,1)*4+MID(A90,11,1)*3+MID(A90,12,1)*2,11))=RIGHT(A90),"ถูกต้อง","ผิด "),"ไม่ครบ13หลัก"))</f>
        <v/>
      </c>
      <c r="J90" s="102"/>
      <c r="K90" s="102"/>
      <c r="L90" s="99" t="n">
        <f aca="false">Summary!N96</f>
        <v>0</v>
      </c>
      <c r="N90" s="0" t="n">
        <f aca="false">IF(L90="less than 10,000 (น้อยกว่า 10,000)",1,IF(L90="10,001-20,000",2,IF(L90="20,001-30,000",3,IF(L90="30,001-40,000",4,IF(L90="40,001-50,000",5,IF(L90="more than 50,001 (มากกว่า 50,001)",6,7))))))</f>
        <v>7</v>
      </c>
    </row>
    <row r="91" customFormat="false" ht="19.5" hidden="false" customHeight="true" outlineLevel="0" collapsed="false">
      <c r="A91" s="93" t="str">
        <f aca="false">IF(ISBLANK(Summary!B97),"",Summary!B97)</f>
        <v/>
      </c>
      <c r="B91" s="94" t="str">
        <f aca="false">IF(ISBLANK(Summary!B97),"",Summary!C97)</f>
        <v/>
      </c>
      <c r="C91" s="95" t="str">
        <f aca="false">IF(ISBLANK(Summary!B97),"",Summary!D97)</f>
        <v/>
      </c>
      <c r="D91" s="95" t="str">
        <f aca="false">IF(ISBLANK(Summary!B97),"",Summary!E97)</f>
        <v/>
      </c>
      <c r="E91" s="96" t="str">
        <f aca="false">IF(ISBLANK(Summary!B97),"",IF(TRIM(SUBSTITUTE(B91," ",""))="นาย","ชาย",IF(TRIM(SUBSTITUTE(B91," ",""))="นาง","หญิง",IF(TRIM(SUBSTITUTE(B91," ",""))="นางสาว","หญิง",IF(TRIM(SUBSTITUTE(B91," ",""))="น.ส.","หญิง","ระบุคำนำหน้าใม่ถูก")))))</f>
        <v/>
      </c>
      <c r="F91" s="94" t="str">
        <f aca="false">IF(ISBLANK(Summary!B97),"",Summary!F97)</f>
        <v/>
      </c>
      <c r="G91" s="96" t="str">
        <f aca="false">IF(ISBLANK(Summary!B97),"",IF(Summary!Q97="passed","ผ่าน",IF(Summary!Q97="fail","ไม่ผ่าน","")))</f>
        <v/>
      </c>
      <c r="H91" s="96" t="str">
        <f aca="false">IF(ISBLANK(Summary!B97),"",CONCATENATE(Summary!G97,Summary!H97,Summary!I97,Summary!J97,Summary!K97,N91))</f>
        <v/>
      </c>
      <c r="I91" s="97" t="str">
        <f aca="false">IF(ISBLANK(Summary!B97),"",IF(LEN(A91)=13,IF(RIGHT(11-MOD(MID(A91,1,1)*13+MID(A91,2,1)*12+MID(A91,3,1)*11+MID(A91,4,1)*10+MID(A91,5,1)*9+MID(A91,6,1)*8+MID(A91,7,1)*7+MID(A91,8,1)*6+MID(A91,9,1)*5+MID(A91,10,1)*4+MID(A91,11,1)*3+MID(A91,12,1)*2,11))=RIGHT(A91),"ถูกต้อง","ผิด "),"ไม่ครบ13หลัก"))</f>
        <v/>
      </c>
      <c r="J91" s="102"/>
      <c r="K91" s="102"/>
      <c r="L91" s="99" t="n">
        <f aca="false">Summary!N97</f>
        <v>0</v>
      </c>
      <c r="N91" s="0" t="n">
        <f aca="false">IF(L91="less than 10,000 (น้อยกว่า 10,000)",1,IF(L91="10,001-20,000",2,IF(L91="20,001-30,000",3,IF(L91="30,001-40,000",4,IF(L91="40,001-50,000",5,IF(L91="more than 50,001 (มากกว่า 50,001)",6,7))))))</f>
        <v>7</v>
      </c>
    </row>
    <row r="92" customFormat="false" ht="19.5" hidden="false" customHeight="true" outlineLevel="0" collapsed="false">
      <c r="A92" s="93" t="str">
        <f aca="false">IF(ISBLANK(Summary!B98),"",Summary!B98)</f>
        <v/>
      </c>
      <c r="B92" s="94" t="str">
        <f aca="false">IF(ISBLANK(Summary!B98),"",Summary!C98)</f>
        <v/>
      </c>
      <c r="C92" s="95" t="str">
        <f aca="false">IF(ISBLANK(Summary!B98),"",Summary!D98)</f>
        <v/>
      </c>
      <c r="D92" s="95" t="str">
        <f aca="false">IF(ISBLANK(Summary!B98),"",Summary!E98)</f>
        <v/>
      </c>
      <c r="E92" s="96" t="str">
        <f aca="false">IF(ISBLANK(Summary!B98),"",IF(TRIM(SUBSTITUTE(B92," ",""))="นาย","ชาย",IF(TRIM(SUBSTITUTE(B92," ",""))="นาง","หญิง",IF(TRIM(SUBSTITUTE(B92," ",""))="นางสาว","หญิง",IF(TRIM(SUBSTITUTE(B92," ",""))="น.ส.","หญิง","ระบุคำนำหน้าใม่ถูก")))))</f>
        <v/>
      </c>
      <c r="F92" s="94" t="str">
        <f aca="false">IF(ISBLANK(Summary!B98),"",Summary!F98)</f>
        <v/>
      </c>
      <c r="G92" s="96" t="str">
        <f aca="false">IF(ISBLANK(Summary!B98),"",IF(Summary!Q98="passed","ผ่าน",IF(Summary!Q98="fail","ไม่ผ่าน","")))</f>
        <v/>
      </c>
      <c r="H92" s="96" t="str">
        <f aca="false">IF(ISBLANK(Summary!B98),"",CONCATENATE(Summary!G98,Summary!H98,Summary!I98,Summary!J98,Summary!K98,N92))</f>
        <v/>
      </c>
      <c r="I92" s="97" t="str">
        <f aca="false">IF(ISBLANK(Summary!B98),"",IF(LEN(A92)=13,IF(RIGHT(11-MOD(MID(A92,1,1)*13+MID(A92,2,1)*12+MID(A92,3,1)*11+MID(A92,4,1)*10+MID(A92,5,1)*9+MID(A92,6,1)*8+MID(A92,7,1)*7+MID(A92,8,1)*6+MID(A92,9,1)*5+MID(A92,10,1)*4+MID(A92,11,1)*3+MID(A92,12,1)*2,11))=RIGHT(A92),"ถูกต้อง","ผิด "),"ไม่ครบ13หลัก"))</f>
        <v/>
      </c>
      <c r="J92" s="102"/>
      <c r="K92" s="102"/>
      <c r="L92" s="99" t="n">
        <f aca="false">Summary!N98</f>
        <v>0</v>
      </c>
      <c r="N92" s="0" t="n">
        <f aca="false">IF(L92="less than 10,000 (น้อยกว่า 10,000)",1,IF(L92="10,001-20,000",2,IF(L92="20,001-30,000",3,IF(L92="30,001-40,000",4,IF(L92="40,001-50,000",5,IF(L92="more than 50,001 (มากกว่า 50,001)",6,7))))))</f>
        <v>7</v>
      </c>
    </row>
    <row r="93" customFormat="false" ht="19.5" hidden="false" customHeight="true" outlineLevel="0" collapsed="false">
      <c r="A93" s="93" t="str">
        <f aca="false">IF(ISBLANK(Summary!B99),"",Summary!B99)</f>
        <v/>
      </c>
      <c r="B93" s="94" t="str">
        <f aca="false">IF(ISBLANK(Summary!B99),"",Summary!C99)</f>
        <v/>
      </c>
      <c r="C93" s="95" t="str">
        <f aca="false">IF(ISBLANK(Summary!B99),"",Summary!D99)</f>
        <v/>
      </c>
      <c r="D93" s="95" t="str">
        <f aca="false">IF(ISBLANK(Summary!B99),"",Summary!E99)</f>
        <v/>
      </c>
      <c r="E93" s="96" t="str">
        <f aca="false">IF(ISBLANK(Summary!B99),"",IF(TRIM(SUBSTITUTE(B93," ",""))="นาย","ชาย",IF(TRIM(SUBSTITUTE(B93," ",""))="นาง","หญิง",IF(TRIM(SUBSTITUTE(B93," ",""))="นางสาว","หญิง",IF(TRIM(SUBSTITUTE(B93," ",""))="น.ส.","หญิง","ระบุคำนำหน้าใม่ถูก")))))</f>
        <v/>
      </c>
      <c r="F93" s="94" t="str">
        <f aca="false">IF(ISBLANK(Summary!B99),"",Summary!F99)</f>
        <v/>
      </c>
      <c r="G93" s="96" t="str">
        <f aca="false">IF(ISBLANK(Summary!B99),"",IF(Summary!Q99="passed","ผ่าน",IF(Summary!Q99="fail","ไม่ผ่าน","")))</f>
        <v/>
      </c>
      <c r="H93" s="96" t="str">
        <f aca="false">IF(ISBLANK(Summary!B99),"",CONCATENATE(Summary!G99,Summary!H99,Summary!I99,Summary!J99,Summary!K99,N93))</f>
        <v/>
      </c>
      <c r="I93" s="97" t="str">
        <f aca="false">IF(ISBLANK(Summary!B99),"",IF(LEN(A93)=13,IF(RIGHT(11-MOD(MID(A93,1,1)*13+MID(A93,2,1)*12+MID(A93,3,1)*11+MID(A93,4,1)*10+MID(A93,5,1)*9+MID(A93,6,1)*8+MID(A93,7,1)*7+MID(A93,8,1)*6+MID(A93,9,1)*5+MID(A93,10,1)*4+MID(A93,11,1)*3+MID(A93,12,1)*2,11))=RIGHT(A93),"ถูกต้อง","ผิด "),"ไม่ครบ13หลัก"))</f>
        <v/>
      </c>
      <c r="J93" s="102"/>
      <c r="K93" s="102"/>
      <c r="L93" s="99" t="n">
        <f aca="false">Summary!N99</f>
        <v>0</v>
      </c>
      <c r="N93" s="0" t="n">
        <f aca="false">IF(L93="less than 10,000 (น้อยกว่า 10,000)",1,IF(L93="10,001-20,000",2,IF(L93="20,001-30,000",3,IF(L93="30,001-40,000",4,IF(L93="40,001-50,000",5,IF(L93="more than 50,001 (มากกว่า 50,001)",6,7))))))</f>
        <v>7</v>
      </c>
    </row>
    <row r="94" customFormat="false" ht="19.5" hidden="false" customHeight="true" outlineLevel="0" collapsed="false">
      <c r="A94" s="93" t="str">
        <f aca="false">IF(ISBLANK(Summary!B100),"",Summary!B100)</f>
        <v/>
      </c>
      <c r="B94" s="94" t="str">
        <f aca="false">IF(ISBLANK(Summary!B100),"",Summary!C100)</f>
        <v/>
      </c>
      <c r="C94" s="95" t="str">
        <f aca="false">IF(ISBLANK(Summary!B100),"",Summary!D100)</f>
        <v/>
      </c>
      <c r="D94" s="95" t="str">
        <f aca="false">IF(ISBLANK(Summary!B100),"",Summary!E100)</f>
        <v/>
      </c>
      <c r="E94" s="96" t="str">
        <f aca="false">IF(ISBLANK(Summary!B100),"",IF(TRIM(SUBSTITUTE(B94," ",""))="นาย","ชาย",IF(TRIM(SUBSTITUTE(B94," ",""))="นาง","หญิง",IF(TRIM(SUBSTITUTE(B94," ",""))="นางสาว","หญิง",IF(TRIM(SUBSTITUTE(B94," ",""))="น.ส.","หญิง","ระบุคำนำหน้าใม่ถูก")))))</f>
        <v/>
      </c>
      <c r="F94" s="94" t="str">
        <f aca="false">IF(ISBLANK(Summary!B100),"",Summary!F100)</f>
        <v/>
      </c>
      <c r="G94" s="96" t="str">
        <f aca="false">IF(ISBLANK(Summary!B100),"",IF(Summary!Q100="passed","ผ่าน",IF(Summary!Q100="fail","ไม่ผ่าน","")))</f>
        <v/>
      </c>
      <c r="H94" s="96" t="str">
        <f aca="false">IF(ISBLANK(Summary!B100),"",CONCATENATE(Summary!G100,Summary!H100,Summary!I100,Summary!J100,Summary!K100,N94))</f>
        <v/>
      </c>
      <c r="I94" s="97" t="str">
        <f aca="false">IF(ISBLANK(Summary!B100),"",IF(LEN(A94)=13,IF(RIGHT(11-MOD(MID(A94,1,1)*13+MID(A94,2,1)*12+MID(A94,3,1)*11+MID(A94,4,1)*10+MID(A94,5,1)*9+MID(A94,6,1)*8+MID(A94,7,1)*7+MID(A94,8,1)*6+MID(A94,9,1)*5+MID(A94,10,1)*4+MID(A94,11,1)*3+MID(A94,12,1)*2,11))=RIGHT(A94),"ถูกต้อง","ผิด "),"ไม่ครบ13หลัก"))</f>
        <v/>
      </c>
      <c r="J94" s="102"/>
      <c r="K94" s="102"/>
      <c r="L94" s="99" t="n">
        <f aca="false">Summary!N100</f>
        <v>0</v>
      </c>
      <c r="N94" s="0" t="n">
        <f aca="false">IF(L94="less than 10,000 (น้อยกว่า 10,000)",1,IF(L94="10,001-20,000",2,IF(L94="20,001-30,000",3,IF(L94="30,001-40,000",4,IF(L94="40,001-50,000",5,IF(L94="more than 50,001 (มากกว่า 50,001)",6,7))))))</f>
        <v>7</v>
      </c>
    </row>
    <row r="95" customFormat="false" ht="19.5" hidden="false" customHeight="true" outlineLevel="0" collapsed="false">
      <c r="A95" s="93" t="str">
        <f aca="false">IF(ISBLANK(Summary!B101),"",Summary!B101)</f>
        <v/>
      </c>
      <c r="B95" s="94" t="str">
        <f aca="false">IF(ISBLANK(Summary!B101),"",Summary!C101)</f>
        <v/>
      </c>
      <c r="C95" s="95" t="str">
        <f aca="false">IF(ISBLANK(Summary!B101),"",Summary!D101)</f>
        <v/>
      </c>
      <c r="D95" s="95" t="str">
        <f aca="false">IF(ISBLANK(Summary!B101),"",Summary!E101)</f>
        <v/>
      </c>
      <c r="E95" s="96" t="str">
        <f aca="false">IF(ISBLANK(Summary!B101),"",IF(TRIM(SUBSTITUTE(B95," ",""))="นาย","ชาย",IF(TRIM(SUBSTITUTE(B95," ",""))="นาง","หญิง",IF(TRIM(SUBSTITUTE(B95," ",""))="นางสาว","หญิง",IF(TRIM(SUBSTITUTE(B95," ",""))="น.ส.","หญิง","ระบุคำนำหน้าใม่ถูก")))))</f>
        <v/>
      </c>
      <c r="F95" s="94" t="str">
        <f aca="false">IF(ISBLANK(Summary!B101),"",Summary!F101)</f>
        <v/>
      </c>
      <c r="G95" s="96" t="str">
        <f aca="false">IF(ISBLANK(Summary!B101),"",IF(Summary!Q101="passed","ผ่าน",IF(Summary!Q101="fail","ไม่ผ่าน","")))</f>
        <v/>
      </c>
      <c r="H95" s="96" t="str">
        <f aca="false">IF(ISBLANK(Summary!B101),"",CONCATENATE(Summary!G101,Summary!H101,Summary!I101,Summary!J101,Summary!K101,N95))</f>
        <v/>
      </c>
      <c r="I95" s="97" t="str">
        <f aca="false">IF(ISBLANK(Summary!B101),"",IF(LEN(A95)=13,IF(RIGHT(11-MOD(MID(A95,1,1)*13+MID(A95,2,1)*12+MID(A95,3,1)*11+MID(A95,4,1)*10+MID(A95,5,1)*9+MID(A95,6,1)*8+MID(A95,7,1)*7+MID(A95,8,1)*6+MID(A95,9,1)*5+MID(A95,10,1)*4+MID(A95,11,1)*3+MID(A95,12,1)*2,11))=RIGHT(A95),"ถูกต้อง","ผิด "),"ไม่ครบ13หลัก"))</f>
        <v/>
      </c>
      <c r="J95" s="102"/>
      <c r="K95" s="102"/>
      <c r="L95" s="99" t="n">
        <f aca="false">Summary!N101</f>
        <v>0</v>
      </c>
      <c r="N95" s="0" t="n">
        <f aca="false">IF(L95="less than 10,000 (น้อยกว่า 10,000)",1,IF(L95="10,001-20,000",2,IF(L95="20,001-30,000",3,IF(L95="30,001-40,000",4,IF(L95="40,001-50,000",5,IF(L95="more than 50,001 (มากกว่า 50,001)",6,7))))))</f>
        <v>7</v>
      </c>
    </row>
    <row r="96" customFormat="false" ht="19.5" hidden="false" customHeight="true" outlineLevel="0" collapsed="false">
      <c r="A96" s="93" t="str">
        <f aca="false">IF(ISBLANK(Summary!B102),"",Summary!B102)</f>
        <v/>
      </c>
      <c r="B96" s="94" t="str">
        <f aca="false">IF(ISBLANK(Summary!B102),"",Summary!C102)</f>
        <v/>
      </c>
      <c r="C96" s="95" t="str">
        <f aca="false">IF(ISBLANK(Summary!B102),"",Summary!D102)</f>
        <v/>
      </c>
      <c r="D96" s="95" t="str">
        <f aca="false">IF(ISBLANK(Summary!B102),"",Summary!E102)</f>
        <v/>
      </c>
      <c r="E96" s="96" t="str">
        <f aca="false">IF(ISBLANK(Summary!B102),"",IF(TRIM(SUBSTITUTE(B96," ",""))="นาย","ชาย",IF(TRIM(SUBSTITUTE(B96," ",""))="นาง","หญิง",IF(TRIM(SUBSTITUTE(B96," ",""))="นางสาว","หญิง",IF(TRIM(SUBSTITUTE(B96," ",""))="น.ส.","หญิง","ระบุคำนำหน้าใม่ถูก")))))</f>
        <v/>
      </c>
      <c r="F96" s="94" t="str">
        <f aca="false">IF(ISBLANK(Summary!B102),"",Summary!F102)</f>
        <v/>
      </c>
      <c r="G96" s="96" t="str">
        <f aca="false">IF(ISBLANK(Summary!B102),"",IF(Summary!Q102="passed","ผ่าน",IF(Summary!Q102="fail","ไม่ผ่าน","")))</f>
        <v/>
      </c>
      <c r="H96" s="96" t="str">
        <f aca="false">IF(ISBLANK(Summary!B102),"",CONCATENATE(Summary!G102,Summary!H102,Summary!I102,Summary!J102,Summary!K102,N96))</f>
        <v/>
      </c>
      <c r="I96" s="97" t="str">
        <f aca="false">IF(ISBLANK(Summary!B102),"",IF(LEN(A96)=13,IF(RIGHT(11-MOD(MID(A96,1,1)*13+MID(A96,2,1)*12+MID(A96,3,1)*11+MID(A96,4,1)*10+MID(A96,5,1)*9+MID(A96,6,1)*8+MID(A96,7,1)*7+MID(A96,8,1)*6+MID(A96,9,1)*5+MID(A96,10,1)*4+MID(A96,11,1)*3+MID(A96,12,1)*2,11))=RIGHT(A96),"ถูกต้อง","ผิด "),"ไม่ครบ13หลัก"))</f>
        <v/>
      </c>
      <c r="J96" s="102"/>
      <c r="K96" s="102"/>
      <c r="L96" s="99" t="n">
        <f aca="false">Summary!N102</f>
        <v>0</v>
      </c>
      <c r="N96" s="0" t="n">
        <f aca="false">IF(L96="less than 10,000 (น้อยกว่า 10,000)",1,IF(L96="10,001-20,000",2,IF(L96="20,001-30,000",3,IF(L96="30,001-40,000",4,IF(L96="40,001-50,000",5,IF(L96="more than 50,001 (มากกว่า 50,001)",6,7))))))</f>
        <v>7</v>
      </c>
    </row>
    <row r="97" customFormat="false" ht="19.5" hidden="false" customHeight="true" outlineLevel="0" collapsed="false">
      <c r="A97" s="93" t="str">
        <f aca="false">IF(ISBLANK(Summary!B103),"",Summary!B103)</f>
        <v/>
      </c>
      <c r="B97" s="94" t="str">
        <f aca="false">IF(ISBLANK(Summary!B103),"",Summary!C103)</f>
        <v/>
      </c>
      <c r="C97" s="95" t="str">
        <f aca="false">IF(ISBLANK(Summary!B103),"",Summary!D103)</f>
        <v/>
      </c>
      <c r="D97" s="95" t="str">
        <f aca="false">IF(ISBLANK(Summary!B103),"",Summary!E103)</f>
        <v/>
      </c>
      <c r="E97" s="96" t="str">
        <f aca="false">IF(ISBLANK(Summary!B103),"",IF(TRIM(SUBSTITUTE(B97," ",""))="นาย","ชาย",IF(TRIM(SUBSTITUTE(B97," ",""))="นาง","หญิง",IF(TRIM(SUBSTITUTE(B97," ",""))="นางสาว","หญิง",IF(TRIM(SUBSTITUTE(B97," ",""))="น.ส.","หญิง","ระบุคำนำหน้าใม่ถูก")))))</f>
        <v/>
      </c>
      <c r="F97" s="94" t="str">
        <f aca="false">IF(ISBLANK(Summary!B103),"",Summary!F103)</f>
        <v/>
      </c>
      <c r="G97" s="96" t="str">
        <f aca="false">IF(ISBLANK(Summary!B103),"",IF(Summary!Q103="passed","ผ่าน",IF(Summary!Q103="fail","ไม่ผ่าน","")))</f>
        <v/>
      </c>
      <c r="H97" s="96" t="str">
        <f aca="false">IF(ISBLANK(Summary!B103),"",CONCATENATE(Summary!G103,Summary!H103,Summary!I103,Summary!J103,Summary!K103,N97))</f>
        <v/>
      </c>
      <c r="I97" s="97" t="str">
        <f aca="false">IF(ISBLANK(Summary!B103),"",IF(LEN(A97)=13,IF(RIGHT(11-MOD(MID(A97,1,1)*13+MID(A97,2,1)*12+MID(A97,3,1)*11+MID(A97,4,1)*10+MID(A97,5,1)*9+MID(A97,6,1)*8+MID(A97,7,1)*7+MID(A97,8,1)*6+MID(A97,9,1)*5+MID(A97,10,1)*4+MID(A97,11,1)*3+MID(A97,12,1)*2,11))=RIGHT(A97),"ถูกต้อง","ผิด "),"ไม่ครบ13หลัก"))</f>
        <v/>
      </c>
      <c r="J97" s="102"/>
      <c r="K97" s="102"/>
      <c r="L97" s="99" t="n">
        <f aca="false">Summary!N103</f>
        <v>0</v>
      </c>
      <c r="N97" s="0" t="n">
        <f aca="false">IF(L97="less than 10,000 (น้อยกว่า 10,000)",1,IF(L97="10,001-20,000",2,IF(L97="20,001-30,000",3,IF(L97="30,001-40,000",4,IF(L97="40,001-50,000",5,IF(L97="more than 50,001 (มากกว่า 50,001)",6,7))))))</f>
        <v>7</v>
      </c>
    </row>
    <row r="98" customFormat="false" ht="19.5" hidden="false" customHeight="true" outlineLevel="0" collapsed="false">
      <c r="A98" s="93" t="str">
        <f aca="false">IF(ISBLANK(Summary!B104),"",Summary!B104)</f>
        <v/>
      </c>
      <c r="B98" s="94" t="str">
        <f aca="false">IF(ISBLANK(Summary!B104),"",Summary!C104)</f>
        <v/>
      </c>
      <c r="C98" s="95" t="str">
        <f aca="false">IF(ISBLANK(Summary!B104),"",Summary!D104)</f>
        <v/>
      </c>
      <c r="D98" s="95" t="str">
        <f aca="false">IF(ISBLANK(Summary!B104),"",Summary!E104)</f>
        <v/>
      </c>
      <c r="E98" s="96" t="str">
        <f aca="false">IF(ISBLANK(Summary!B104),"",IF(TRIM(SUBSTITUTE(B98," ",""))="นาย","ชาย",IF(TRIM(SUBSTITUTE(B98," ",""))="นาง","หญิง",IF(TRIM(SUBSTITUTE(B98," ",""))="นางสาว","หญิง",IF(TRIM(SUBSTITUTE(B98," ",""))="น.ส.","หญิง","ระบุคำนำหน้าใม่ถูก")))))</f>
        <v/>
      </c>
      <c r="F98" s="94" t="str">
        <f aca="false">IF(ISBLANK(Summary!B104),"",Summary!F104)</f>
        <v/>
      </c>
      <c r="G98" s="96" t="str">
        <f aca="false">IF(ISBLANK(Summary!B104),"",IF(Summary!Q104="passed","ผ่าน",IF(Summary!Q104="fail","ไม่ผ่าน","")))</f>
        <v/>
      </c>
      <c r="H98" s="96" t="str">
        <f aca="false">IF(ISBLANK(Summary!B104),"",CONCATENATE(Summary!G104,Summary!H104,Summary!I104,Summary!J104,Summary!K104,N98))</f>
        <v/>
      </c>
      <c r="I98" s="97" t="str">
        <f aca="false">IF(ISBLANK(Summary!B104),"",IF(LEN(A98)=13,IF(RIGHT(11-MOD(MID(A98,1,1)*13+MID(A98,2,1)*12+MID(A98,3,1)*11+MID(A98,4,1)*10+MID(A98,5,1)*9+MID(A98,6,1)*8+MID(A98,7,1)*7+MID(A98,8,1)*6+MID(A98,9,1)*5+MID(A98,10,1)*4+MID(A98,11,1)*3+MID(A98,12,1)*2,11))=RIGHT(A98),"ถูกต้อง","ผิด "),"ไม่ครบ13หลัก"))</f>
        <v/>
      </c>
      <c r="J98" s="102"/>
      <c r="K98" s="102"/>
      <c r="L98" s="99" t="n">
        <f aca="false">Summary!N104</f>
        <v>0</v>
      </c>
      <c r="N98" s="0" t="n">
        <f aca="false">IF(L98="less than 10,000 (น้อยกว่า 10,000)",1,IF(L98="10,001-20,000",2,IF(L98="20,001-30,000",3,IF(L98="30,001-40,000",4,IF(L98="40,001-50,000",5,IF(L98="more than 50,001 (มากกว่า 50,001)",6,7))))))</f>
        <v>7</v>
      </c>
    </row>
    <row r="99" customFormat="false" ht="19.5" hidden="false" customHeight="true" outlineLevel="0" collapsed="false">
      <c r="A99" s="93" t="str">
        <f aca="false">IF(ISBLANK(Summary!B105),"",Summary!B105)</f>
        <v/>
      </c>
      <c r="B99" s="94" t="str">
        <f aca="false">IF(ISBLANK(Summary!B105),"",Summary!C105)</f>
        <v/>
      </c>
      <c r="C99" s="95" t="str">
        <f aca="false">IF(ISBLANK(Summary!B105),"",Summary!D105)</f>
        <v/>
      </c>
      <c r="D99" s="95" t="str">
        <f aca="false">IF(ISBLANK(Summary!B105),"",Summary!E105)</f>
        <v/>
      </c>
      <c r="E99" s="96" t="str">
        <f aca="false">IF(ISBLANK(Summary!B105),"",IF(TRIM(SUBSTITUTE(B99," ",""))="นาย","ชาย",IF(TRIM(SUBSTITUTE(B99," ",""))="นาง","หญิง",IF(TRIM(SUBSTITUTE(B99," ",""))="นางสาว","หญิง",IF(TRIM(SUBSTITUTE(B99," ",""))="น.ส.","หญิง","ระบุคำนำหน้าใม่ถูก")))))</f>
        <v/>
      </c>
      <c r="F99" s="94" t="str">
        <f aca="false">IF(ISBLANK(Summary!B105),"",Summary!F105)</f>
        <v/>
      </c>
      <c r="G99" s="96" t="str">
        <f aca="false">IF(ISBLANK(Summary!B105),"",IF(Summary!Q105="passed","ผ่าน",IF(Summary!Q105="fail","ไม่ผ่าน","")))</f>
        <v/>
      </c>
      <c r="H99" s="96" t="str">
        <f aca="false">IF(ISBLANK(Summary!B105),"",CONCATENATE(Summary!G105,Summary!H105,Summary!I105,Summary!J105,Summary!K105,N99))</f>
        <v/>
      </c>
      <c r="I99" s="97" t="str">
        <f aca="false">IF(ISBLANK(Summary!B105),"",IF(LEN(A99)=13,IF(RIGHT(11-MOD(MID(A99,1,1)*13+MID(A99,2,1)*12+MID(A99,3,1)*11+MID(A99,4,1)*10+MID(A99,5,1)*9+MID(A99,6,1)*8+MID(A99,7,1)*7+MID(A99,8,1)*6+MID(A99,9,1)*5+MID(A99,10,1)*4+MID(A99,11,1)*3+MID(A99,12,1)*2,11))=RIGHT(A99),"ถูกต้อง","ผิด "),"ไม่ครบ13หลัก"))</f>
        <v/>
      </c>
      <c r="J99" s="102"/>
      <c r="K99" s="102"/>
      <c r="L99" s="99" t="n">
        <f aca="false">Summary!N105</f>
        <v>0</v>
      </c>
      <c r="N99" s="0" t="n">
        <f aca="false">IF(L99="less than 10,000 (น้อยกว่า 10,000)",1,IF(L99="10,001-20,000",2,IF(L99="20,001-30,000",3,IF(L99="30,001-40,000",4,IF(L99="40,001-50,000",5,IF(L99="more than 50,001 (มากกว่า 50,001)",6,7))))))</f>
        <v>7</v>
      </c>
    </row>
    <row r="100" customFormat="false" ht="19.5" hidden="false" customHeight="true" outlineLevel="0" collapsed="false">
      <c r="A100" s="93" t="str">
        <f aca="false">IF(ISBLANK(Summary!B106),"",Summary!B106)</f>
        <v/>
      </c>
      <c r="B100" s="94" t="str">
        <f aca="false">IF(ISBLANK(Summary!B106),"",Summary!C106)</f>
        <v/>
      </c>
      <c r="C100" s="95" t="str">
        <f aca="false">IF(ISBLANK(Summary!B106),"",Summary!D106)</f>
        <v/>
      </c>
      <c r="D100" s="95" t="str">
        <f aca="false">IF(ISBLANK(Summary!B106),"",Summary!E106)</f>
        <v/>
      </c>
      <c r="E100" s="96" t="str">
        <f aca="false">IF(ISBLANK(Summary!B106),"",IF(TRIM(SUBSTITUTE(B100," ",""))="นาย","ชาย",IF(TRIM(SUBSTITUTE(B100," ",""))="นาง","หญิง",IF(TRIM(SUBSTITUTE(B100," ",""))="นางสาว","หญิง",IF(TRIM(SUBSTITUTE(B100," ",""))="น.ส.","หญิง","ระบุคำนำหน้าใม่ถูก")))))</f>
        <v/>
      </c>
      <c r="F100" s="94" t="str">
        <f aca="false">IF(ISBLANK(Summary!B106),"",Summary!F106)</f>
        <v/>
      </c>
      <c r="G100" s="96" t="str">
        <f aca="false">IF(ISBLANK(Summary!B106),"",IF(Summary!Q106="passed","ผ่าน",IF(Summary!Q106="fail","ไม่ผ่าน","")))</f>
        <v/>
      </c>
      <c r="H100" s="96" t="str">
        <f aca="false">IF(ISBLANK(Summary!B106),"",CONCATENATE(Summary!G106,Summary!H106,Summary!I106,Summary!J106,Summary!K106,N100))</f>
        <v/>
      </c>
      <c r="I100" s="97" t="str">
        <f aca="false">IF(ISBLANK(Summary!B106),"",IF(LEN(A100)=13,IF(RIGHT(11-MOD(MID(A100,1,1)*13+MID(A100,2,1)*12+MID(A100,3,1)*11+MID(A100,4,1)*10+MID(A100,5,1)*9+MID(A100,6,1)*8+MID(A100,7,1)*7+MID(A100,8,1)*6+MID(A100,9,1)*5+MID(A100,10,1)*4+MID(A100,11,1)*3+MID(A100,12,1)*2,11))=RIGHT(A100),"ถูกต้อง","ผิด "),"ไม่ครบ13หลัก"))</f>
        <v/>
      </c>
      <c r="J100" s="102"/>
      <c r="K100" s="102"/>
      <c r="L100" s="99" t="n">
        <f aca="false">Summary!N106</f>
        <v>0</v>
      </c>
      <c r="N100" s="0" t="n">
        <f aca="false">IF(L100="less than 10,000 (น้อยกว่า 10,000)",1,IF(L100="10,001-20,000",2,IF(L100="20,001-30,000",3,IF(L100="30,001-40,000",4,IF(L100="40,001-50,000",5,IF(L100="more than 50,001 (มากกว่า 50,001)",6,7))))))</f>
        <v>7</v>
      </c>
    </row>
    <row r="101" customFormat="false" ht="19.5" hidden="false" customHeight="true" outlineLevel="0" collapsed="false">
      <c r="A101" s="93" t="str">
        <f aca="false">IF(ISBLANK(Summary!B107),"",Summary!B107)</f>
        <v/>
      </c>
      <c r="B101" s="94" t="str">
        <f aca="false">IF(ISBLANK(Summary!B107),"",Summary!C107)</f>
        <v/>
      </c>
      <c r="C101" s="95" t="str">
        <f aca="false">IF(ISBLANK(Summary!B107),"",Summary!D107)</f>
        <v/>
      </c>
      <c r="D101" s="95" t="str">
        <f aca="false">IF(ISBLANK(Summary!B107),"",Summary!E107)</f>
        <v/>
      </c>
      <c r="E101" s="96" t="str">
        <f aca="false">IF(ISBLANK(Summary!B107),"",IF(TRIM(SUBSTITUTE(B101," ",""))="นาย","ชาย",IF(TRIM(SUBSTITUTE(B101," ",""))="นาง","หญิง",IF(TRIM(SUBSTITUTE(B101," ",""))="นางสาว","หญิง",IF(TRIM(SUBSTITUTE(B101," ",""))="น.ส.","หญิง","ระบุคำนำหน้าใม่ถูก")))))</f>
        <v/>
      </c>
      <c r="F101" s="94" t="str">
        <f aca="false">IF(ISBLANK(Summary!B107),"",Summary!F107)</f>
        <v/>
      </c>
      <c r="G101" s="96" t="str">
        <f aca="false">IF(ISBLANK(Summary!B107),"",IF(Summary!Q107="passed","ผ่าน",IF(Summary!Q107="fail","ไม่ผ่าน","")))</f>
        <v/>
      </c>
      <c r="H101" s="96" t="str">
        <f aca="false">IF(ISBLANK(Summary!B107),"",CONCATENATE(Summary!G107,Summary!H107,Summary!I107,Summary!J107,Summary!K107,N101))</f>
        <v/>
      </c>
      <c r="I101" s="97" t="str">
        <f aca="false">IF(ISBLANK(Summary!B107),"",IF(LEN(A101)=13,IF(RIGHT(11-MOD(MID(A101,1,1)*13+MID(A101,2,1)*12+MID(A101,3,1)*11+MID(A101,4,1)*10+MID(A101,5,1)*9+MID(A101,6,1)*8+MID(A101,7,1)*7+MID(A101,8,1)*6+MID(A101,9,1)*5+MID(A101,10,1)*4+MID(A101,11,1)*3+MID(A101,12,1)*2,11))=RIGHT(A101),"ถูกต้อง","ผิด "),"ไม่ครบ13หลัก"))</f>
        <v/>
      </c>
      <c r="J101" s="102"/>
      <c r="K101" s="102"/>
      <c r="L101" s="99" t="n">
        <f aca="false">Summary!N107</f>
        <v>0</v>
      </c>
      <c r="N101" s="0" t="n">
        <f aca="false">IF(L101="less than 10,000 (น้อยกว่า 10,000)",1,IF(L101="10,001-20,000",2,IF(L101="20,001-30,000",3,IF(L101="30,001-40,000",4,IF(L101="40,001-50,000",5,IF(L101="more than 50,001 (มากกว่า 50,001)",6,7))))))</f>
        <v>7</v>
      </c>
    </row>
  </sheetData>
  <sheetProtection sheet="true" password="ce28" formatCells="false" formatColumns="false"/>
  <mergeCells count="1">
    <mergeCell ref="J1:Q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H2" activeCellId="0" sqref="H2"/>
    </sheetView>
  </sheetViews>
  <sheetFormatPr defaultColWidth="9.1015625" defaultRowHeight="23.4" customHeight="false" zeroHeight="false" outlineLevelRow="0" outlineLevelCol="0"/>
  <cols>
    <col collapsed="false" customWidth="false" hidden="false" outlineLevel="0" max="2" min="1" style="106" width="9.1"/>
    <col collapsed="false" customWidth="true" hidden="false" outlineLevel="0" max="3" min="3" style="107" width="89.32"/>
    <col collapsed="false" customWidth="false" hidden="false" outlineLevel="0" max="8" min="4" style="106" width="9.1"/>
    <col collapsed="false" customWidth="false" hidden="false" outlineLevel="0" max="257" min="9" style="107" width="9.1"/>
  </cols>
  <sheetData>
    <row r="1" customFormat="false" ht="23.4" hidden="false" customHeight="false" outlineLevel="0" collapsed="false">
      <c r="A1" s="108" t="s">
        <v>230</v>
      </c>
      <c r="B1" s="108" t="s">
        <v>231</v>
      </c>
      <c r="C1" s="108" t="s">
        <v>232</v>
      </c>
      <c r="D1" s="108" t="s">
        <v>233</v>
      </c>
      <c r="E1" s="108" t="s">
        <v>234</v>
      </c>
      <c r="F1" s="108" t="s">
        <v>235</v>
      </c>
      <c r="G1" s="108" t="s">
        <v>236</v>
      </c>
      <c r="H1" s="108" t="s">
        <v>236</v>
      </c>
    </row>
    <row r="2" customFormat="false" ht="23.4" hidden="false" customHeight="false" outlineLevel="0" collapsed="false">
      <c r="A2" s="108" t="s">
        <v>237</v>
      </c>
      <c r="B2" s="108" t="n">
        <v>1</v>
      </c>
      <c r="C2" s="107" t="s">
        <v>8</v>
      </c>
      <c r="D2" s="108" t="n">
        <v>0</v>
      </c>
      <c r="E2" s="108" t="n">
        <v>1</v>
      </c>
      <c r="F2" s="108" t="n">
        <v>0</v>
      </c>
      <c r="G2" s="108" t="n">
        <v>1</v>
      </c>
      <c r="H2" s="108" t="n">
        <v>0</v>
      </c>
      <c r="J2" s="107" t="s">
        <v>238</v>
      </c>
    </row>
    <row r="3" customFormat="false" ht="23.4" hidden="false" customHeight="false" outlineLevel="0" collapsed="false">
      <c r="A3" s="108" t="s">
        <v>237</v>
      </c>
      <c r="B3" s="108" t="n">
        <v>2</v>
      </c>
      <c r="C3" s="107" t="s">
        <v>9</v>
      </c>
      <c r="D3" s="108" t="n">
        <v>0</v>
      </c>
      <c r="E3" s="108" t="n">
        <v>1</v>
      </c>
      <c r="F3" s="108" t="n">
        <v>0</v>
      </c>
      <c r="G3" s="108" t="n">
        <v>0</v>
      </c>
      <c r="H3" s="108" t="n">
        <v>1</v>
      </c>
      <c r="J3" s="107" t="s">
        <v>239</v>
      </c>
    </row>
    <row r="4" customFormat="false" ht="23.4" hidden="false" customHeight="false" outlineLevel="0" collapsed="false">
      <c r="A4" s="108" t="s">
        <v>237</v>
      </c>
      <c r="B4" s="108" t="n">
        <v>3</v>
      </c>
      <c r="C4" s="107" t="s">
        <v>12</v>
      </c>
      <c r="D4" s="108" t="n">
        <v>0</v>
      </c>
      <c r="E4" s="108" t="n">
        <v>1</v>
      </c>
      <c r="F4" s="108" t="n">
        <v>0</v>
      </c>
      <c r="G4" s="108" t="n">
        <v>1</v>
      </c>
      <c r="H4" s="108" t="n">
        <v>1</v>
      </c>
      <c r="J4" s="107" t="s">
        <v>240</v>
      </c>
    </row>
    <row r="5" customFormat="false" ht="23.4" hidden="false" customHeight="false" outlineLevel="0" collapsed="false">
      <c r="A5" s="108" t="s">
        <v>241</v>
      </c>
      <c r="B5" s="108" t="n">
        <v>5</v>
      </c>
      <c r="C5" s="107" t="s">
        <v>23</v>
      </c>
      <c r="D5" s="108" t="n">
        <v>0</v>
      </c>
      <c r="E5" s="108" t="n">
        <v>1</v>
      </c>
      <c r="F5" s="108" t="n">
        <v>0</v>
      </c>
      <c r="G5" s="108" t="n">
        <v>1</v>
      </c>
      <c r="H5" s="108" t="n">
        <v>0</v>
      </c>
      <c r="J5" s="107" t="s">
        <v>242</v>
      </c>
    </row>
    <row r="6" customFormat="false" ht="23.4" hidden="false" customHeight="false" outlineLevel="0" collapsed="false">
      <c r="A6" s="108" t="s">
        <v>241</v>
      </c>
      <c r="B6" s="108" t="n">
        <v>6</v>
      </c>
      <c r="C6" s="107" t="s">
        <v>29</v>
      </c>
      <c r="D6" s="108" t="n">
        <v>0</v>
      </c>
      <c r="E6" s="108" t="n">
        <v>1</v>
      </c>
      <c r="F6" s="108" t="n">
        <v>0</v>
      </c>
      <c r="G6" s="108" t="n">
        <v>0</v>
      </c>
      <c r="H6" s="108" t="n">
        <v>1</v>
      </c>
      <c r="J6" s="107" t="s">
        <v>243</v>
      </c>
    </row>
    <row r="7" customFormat="false" ht="23.4" hidden="false" customHeight="false" outlineLevel="0" collapsed="false">
      <c r="A7" s="108" t="s">
        <v>241</v>
      </c>
      <c r="B7" s="108" t="n">
        <v>7</v>
      </c>
      <c r="C7" s="107" t="s">
        <v>35</v>
      </c>
      <c r="D7" s="108" t="n">
        <v>0</v>
      </c>
      <c r="E7" s="108" t="n">
        <v>1</v>
      </c>
      <c r="F7" s="108" t="n">
        <v>1</v>
      </c>
      <c r="G7" s="108" t="n">
        <v>1</v>
      </c>
      <c r="H7" s="108" t="n">
        <v>0</v>
      </c>
    </row>
    <row r="8" customFormat="false" ht="23.4" hidden="false" customHeight="false" outlineLevel="0" collapsed="false">
      <c r="A8" s="108" t="s">
        <v>241</v>
      </c>
      <c r="B8" s="108" t="n">
        <v>8</v>
      </c>
      <c r="C8" s="107" t="s">
        <v>39</v>
      </c>
      <c r="D8" s="108" t="n">
        <v>0</v>
      </c>
      <c r="E8" s="108" t="n">
        <v>1</v>
      </c>
      <c r="F8" s="108" t="n">
        <v>0</v>
      </c>
      <c r="G8" s="108" t="n">
        <v>1</v>
      </c>
      <c r="H8" s="108" t="n">
        <v>0</v>
      </c>
    </row>
    <row r="9" customFormat="false" ht="23.4" hidden="false" customHeight="false" outlineLevel="0" collapsed="false">
      <c r="A9" s="108" t="s">
        <v>241</v>
      </c>
      <c r="B9" s="108" t="n">
        <v>9</v>
      </c>
      <c r="C9" s="107" t="s">
        <v>44</v>
      </c>
      <c r="D9" s="108" t="n">
        <v>0</v>
      </c>
      <c r="E9" s="108" t="n">
        <v>1</v>
      </c>
      <c r="F9" s="108" t="n">
        <v>1</v>
      </c>
      <c r="G9" s="108" t="n">
        <v>1</v>
      </c>
      <c r="H9" s="108" t="n">
        <v>0</v>
      </c>
    </row>
    <row r="10" customFormat="false" ht="23.4" hidden="false" customHeight="false" outlineLevel="0" collapsed="false">
      <c r="A10" s="108" t="s">
        <v>244</v>
      </c>
      <c r="B10" s="108" t="n">
        <v>10</v>
      </c>
      <c r="C10" s="107" t="s">
        <v>49</v>
      </c>
      <c r="D10" s="108" t="n">
        <v>0</v>
      </c>
      <c r="E10" s="108" t="n">
        <v>1</v>
      </c>
      <c r="F10" s="108" t="n">
        <v>0</v>
      </c>
      <c r="G10" s="108" t="n">
        <v>1</v>
      </c>
      <c r="H10" s="108" t="n">
        <v>0</v>
      </c>
    </row>
    <row r="11" customFormat="false" ht="23.4" hidden="false" customHeight="false" outlineLevel="0" collapsed="false">
      <c r="A11" s="108" t="s">
        <v>244</v>
      </c>
      <c r="B11" s="108" t="n">
        <v>11</v>
      </c>
      <c r="C11" s="107" t="s">
        <v>53</v>
      </c>
      <c r="D11" s="108" t="n">
        <v>0</v>
      </c>
      <c r="E11" s="108" t="n">
        <v>1</v>
      </c>
      <c r="F11" s="108" t="n">
        <v>0</v>
      </c>
      <c r="G11" s="108" t="n">
        <v>1</v>
      </c>
      <c r="H11" s="108" t="n">
        <v>0</v>
      </c>
    </row>
    <row r="12" customFormat="false" ht="23.4" hidden="false" customHeight="false" outlineLevel="0" collapsed="false">
      <c r="A12" s="108" t="s">
        <v>244</v>
      </c>
      <c r="B12" s="108" t="n">
        <v>12</v>
      </c>
      <c r="C12" s="107" t="s">
        <v>57</v>
      </c>
      <c r="D12" s="108" t="n">
        <v>0</v>
      </c>
      <c r="E12" s="108" t="n">
        <v>1</v>
      </c>
      <c r="F12" s="108" t="n">
        <v>0</v>
      </c>
      <c r="G12" s="108" t="n">
        <v>1</v>
      </c>
      <c r="H12" s="108" t="n">
        <v>0</v>
      </c>
    </row>
    <row r="13" customFormat="false" ht="23.4" hidden="false" customHeight="false" outlineLevel="0" collapsed="false">
      <c r="A13" s="108" t="s">
        <v>244</v>
      </c>
      <c r="B13" s="108" t="n">
        <v>13</v>
      </c>
      <c r="C13" s="107" t="s">
        <v>61</v>
      </c>
      <c r="D13" s="108" t="n">
        <v>0</v>
      </c>
      <c r="E13" s="108" t="n">
        <v>1</v>
      </c>
      <c r="F13" s="108" t="n">
        <v>0</v>
      </c>
      <c r="G13" s="108" t="n">
        <v>1</v>
      </c>
      <c r="H13" s="108" t="n">
        <v>0</v>
      </c>
    </row>
    <row r="14" customFormat="false" ht="23.4" hidden="false" customHeight="false" outlineLevel="0" collapsed="false">
      <c r="A14" s="108" t="s">
        <v>244</v>
      </c>
      <c r="B14" s="108" t="n">
        <v>14</v>
      </c>
      <c r="C14" s="107" t="s">
        <v>65</v>
      </c>
      <c r="D14" s="108" t="n">
        <v>0</v>
      </c>
      <c r="E14" s="108" t="n">
        <v>1</v>
      </c>
      <c r="F14" s="108" t="n">
        <v>1</v>
      </c>
      <c r="G14" s="108" t="n">
        <v>1</v>
      </c>
      <c r="H14" s="108" t="n">
        <v>0</v>
      </c>
    </row>
    <row r="15" customFormat="false" ht="23.4" hidden="false" customHeight="false" outlineLevel="0" collapsed="false">
      <c r="A15" s="108" t="s">
        <v>244</v>
      </c>
      <c r="B15" s="108" t="n">
        <v>15</v>
      </c>
      <c r="C15" s="107" t="s">
        <v>70</v>
      </c>
      <c r="D15" s="108" t="n">
        <v>0</v>
      </c>
      <c r="E15" s="108" t="n">
        <v>1</v>
      </c>
      <c r="F15" s="108" t="n">
        <v>0</v>
      </c>
      <c r="G15" s="108" t="n">
        <v>1</v>
      </c>
      <c r="H15" s="108" t="n">
        <v>0</v>
      </c>
    </row>
    <row r="16" customFormat="false" ht="23.4" hidden="false" customHeight="false" outlineLevel="0" collapsed="false">
      <c r="A16" s="108" t="s">
        <v>244</v>
      </c>
      <c r="B16" s="108" t="n">
        <v>16</v>
      </c>
      <c r="C16" s="107" t="s">
        <v>77</v>
      </c>
      <c r="D16" s="108" t="n">
        <v>0</v>
      </c>
      <c r="E16" s="108" t="n">
        <v>1</v>
      </c>
      <c r="F16" s="108" t="n">
        <v>0</v>
      </c>
      <c r="G16" s="108" t="n">
        <v>1</v>
      </c>
      <c r="H16" s="108" t="n">
        <v>0</v>
      </c>
    </row>
    <row r="17" customFormat="false" ht="23.4" hidden="false" customHeight="false" outlineLevel="0" collapsed="false">
      <c r="A17" s="108" t="s">
        <v>244</v>
      </c>
      <c r="B17" s="108" t="n">
        <v>17</v>
      </c>
      <c r="C17" s="107" t="s">
        <v>82</v>
      </c>
      <c r="D17" s="108" t="n">
        <v>0</v>
      </c>
      <c r="E17" s="108" t="n">
        <v>1</v>
      </c>
      <c r="F17" s="108" t="n">
        <v>0</v>
      </c>
      <c r="G17" s="108" t="n">
        <v>1</v>
      </c>
      <c r="H17" s="108" t="n">
        <v>0</v>
      </c>
    </row>
    <row r="18" customFormat="false" ht="23.4" hidden="false" customHeight="false" outlineLevel="0" collapsed="false">
      <c r="A18" s="108" t="s">
        <v>244</v>
      </c>
      <c r="B18" s="108" t="n">
        <v>18</v>
      </c>
      <c r="C18" s="107" t="s">
        <v>87</v>
      </c>
      <c r="D18" s="108" t="n">
        <v>0</v>
      </c>
      <c r="E18" s="108" t="n">
        <v>1</v>
      </c>
      <c r="F18" s="108" t="n">
        <v>0</v>
      </c>
      <c r="G18" s="108" t="n">
        <v>1</v>
      </c>
      <c r="H18" s="108" t="n">
        <v>0</v>
      </c>
    </row>
    <row r="19" customFormat="false" ht="23.4" hidden="false" customHeight="false" outlineLevel="0" collapsed="false">
      <c r="A19" s="108" t="s">
        <v>244</v>
      </c>
      <c r="B19" s="108" t="n">
        <v>19</v>
      </c>
      <c r="C19" s="107" t="s">
        <v>91</v>
      </c>
      <c r="D19" s="108" t="n">
        <v>0</v>
      </c>
      <c r="E19" s="108" t="n">
        <v>1</v>
      </c>
      <c r="F19" s="108" t="n">
        <v>0</v>
      </c>
      <c r="G19" s="108" t="n">
        <v>1</v>
      </c>
      <c r="H19" s="108" t="n">
        <v>0</v>
      </c>
    </row>
    <row r="20" customFormat="false" ht="23.4" hidden="false" customHeight="false" outlineLevel="0" collapsed="false">
      <c r="A20" s="108" t="s">
        <v>244</v>
      </c>
      <c r="B20" s="108" t="n">
        <v>20</v>
      </c>
      <c r="C20" s="107" t="s">
        <v>97</v>
      </c>
      <c r="D20" s="108" t="n">
        <v>0</v>
      </c>
      <c r="E20" s="108" t="n">
        <v>1</v>
      </c>
      <c r="F20" s="108" t="n">
        <v>0</v>
      </c>
      <c r="G20" s="108" t="n">
        <v>1</v>
      </c>
      <c r="H20" s="108" t="n">
        <v>0</v>
      </c>
    </row>
    <row r="21" customFormat="false" ht="23.4" hidden="false" customHeight="false" outlineLevel="0" collapsed="false">
      <c r="A21" s="108" t="s">
        <v>244</v>
      </c>
      <c r="B21" s="108" t="n">
        <v>21</v>
      </c>
      <c r="C21" s="107" t="s">
        <v>101</v>
      </c>
      <c r="D21" s="108" t="n">
        <v>0</v>
      </c>
      <c r="E21" s="108" t="n">
        <v>1</v>
      </c>
      <c r="F21" s="108" t="n">
        <v>0</v>
      </c>
      <c r="G21" s="108" t="n">
        <v>1</v>
      </c>
      <c r="H21" s="108" t="n">
        <v>0</v>
      </c>
    </row>
    <row r="22" customFormat="false" ht="23.4" hidden="false" customHeight="false" outlineLevel="0" collapsed="false">
      <c r="A22" s="108" t="s">
        <v>244</v>
      </c>
      <c r="B22" s="108" t="n">
        <v>22</v>
      </c>
      <c r="C22" s="107" t="s">
        <v>105</v>
      </c>
      <c r="D22" s="108" t="n">
        <v>0</v>
      </c>
      <c r="E22" s="108" t="n">
        <v>1</v>
      </c>
      <c r="F22" s="108" t="n">
        <v>0</v>
      </c>
      <c r="G22" s="108" t="n">
        <v>1</v>
      </c>
      <c r="H22" s="108" t="n">
        <v>0</v>
      </c>
    </row>
    <row r="23" customFormat="false" ht="23.4" hidden="false" customHeight="false" outlineLevel="0" collapsed="false">
      <c r="A23" s="108" t="s">
        <v>244</v>
      </c>
      <c r="B23" s="108" t="n">
        <v>23</v>
      </c>
      <c r="C23" s="107" t="s">
        <v>109</v>
      </c>
      <c r="D23" s="108" t="n">
        <v>0</v>
      </c>
      <c r="E23" s="108" t="n">
        <v>1</v>
      </c>
      <c r="F23" s="108" t="n">
        <v>0</v>
      </c>
      <c r="G23" s="108" t="n">
        <v>1</v>
      </c>
      <c r="H23" s="108" t="n">
        <v>1</v>
      </c>
    </row>
    <row r="24" customFormat="false" ht="23.4" hidden="false" customHeight="false" outlineLevel="0" collapsed="false">
      <c r="A24" s="108" t="s">
        <v>244</v>
      </c>
      <c r="B24" s="108" t="n">
        <v>24</v>
      </c>
      <c r="C24" s="107" t="s">
        <v>113</v>
      </c>
      <c r="D24" s="108" t="n">
        <v>0</v>
      </c>
      <c r="E24" s="108" t="n">
        <v>1</v>
      </c>
      <c r="F24" s="108" t="n">
        <v>0</v>
      </c>
      <c r="G24" s="108" t="n">
        <v>1</v>
      </c>
      <c r="H24" s="108" t="n">
        <v>1</v>
      </c>
    </row>
    <row r="25" customFormat="false" ht="23.4" hidden="false" customHeight="false" outlineLevel="0" collapsed="false">
      <c r="A25" s="108" t="s">
        <v>244</v>
      </c>
      <c r="B25" s="108" t="n">
        <v>25</v>
      </c>
      <c r="C25" s="107" t="s">
        <v>118</v>
      </c>
      <c r="D25" s="108" t="n">
        <v>0</v>
      </c>
      <c r="E25" s="108" t="n">
        <v>1</v>
      </c>
      <c r="F25" s="108" t="n">
        <v>0</v>
      </c>
      <c r="G25" s="108" t="n">
        <v>1</v>
      </c>
      <c r="H25" s="108" t="n">
        <v>0</v>
      </c>
    </row>
    <row r="26" customFormat="false" ht="23.4" hidden="false" customHeight="false" outlineLevel="0" collapsed="false">
      <c r="A26" s="108" t="s">
        <v>244</v>
      </c>
      <c r="B26" s="108" t="n">
        <v>26</v>
      </c>
      <c r="C26" s="107" t="s">
        <v>122</v>
      </c>
      <c r="D26" s="108" t="n">
        <v>0</v>
      </c>
      <c r="E26" s="108" t="n">
        <v>1</v>
      </c>
      <c r="F26" s="108" t="n">
        <v>0</v>
      </c>
      <c r="G26" s="108" t="n">
        <v>1</v>
      </c>
      <c r="H26" s="108" t="n">
        <v>1</v>
      </c>
    </row>
    <row r="27" customFormat="false" ht="23.4" hidden="false" customHeight="false" outlineLevel="0" collapsed="false">
      <c r="A27" s="108" t="s">
        <v>244</v>
      </c>
      <c r="B27" s="108" t="n">
        <v>27</v>
      </c>
      <c r="C27" s="107" t="s">
        <v>125</v>
      </c>
      <c r="D27" s="108" t="n">
        <v>0</v>
      </c>
      <c r="E27" s="108" t="n">
        <v>1</v>
      </c>
      <c r="F27" s="108" t="n">
        <v>0</v>
      </c>
      <c r="G27" s="108" t="n">
        <v>1</v>
      </c>
      <c r="H27" s="108" t="n">
        <v>0</v>
      </c>
    </row>
    <row r="28" customFormat="false" ht="23.4" hidden="false" customHeight="false" outlineLevel="0" collapsed="false">
      <c r="A28" s="108" t="s">
        <v>244</v>
      </c>
      <c r="B28" s="108" t="n">
        <v>28</v>
      </c>
      <c r="C28" s="107" t="s">
        <v>129</v>
      </c>
      <c r="D28" s="108" t="n">
        <v>0</v>
      </c>
      <c r="E28" s="108" t="n">
        <v>1</v>
      </c>
      <c r="F28" s="108" t="n">
        <v>0</v>
      </c>
      <c r="G28" s="108" t="n">
        <v>1</v>
      </c>
      <c r="H28" s="108" t="n">
        <v>0</v>
      </c>
    </row>
    <row r="29" customFormat="false" ht="23.4" hidden="false" customHeight="false" outlineLevel="0" collapsed="false">
      <c r="A29" s="108" t="s">
        <v>244</v>
      </c>
      <c r="B29" s="108" t="n">
        <v>29</v>
      </c>
      <c r="C29" s="107" t="s">
        <v>134</v>
      </c>
      <c r="D29" s="108" t="n">
        <v>0</v>
      </c>
      <c r="E29" s="108" t="n">
        <v>1</v>
      </c>
      <c r="F29" s="108" t="n">
        <v>0</v>
      </c>
      <c r="G29" s="108" t="n">
        <v>1</v>
      </c>
      <c r="H29" s="108" t="n">
        <v>0</v>
      </c>
    </row>
    <row r="30" customFormat="false" ht="23.4" hidden="false" customHeight="false" outlineLevel="0" collapsed="false">
      <c r="A30" s="108" t="s">
        <v>244</v>
      </c>
      <c r="B30" s="108" t="n">
        <v>30</v>
      </c>
      <c r="C30" s="107" t="s">
        <v>138</v>
      </c>
      <c r="D30" s="108" t="n">
        <v>0</v>
      </c>
      <c r="E30" s="108" t="n">
        <v>1</v>
      </c>
      <c r="F30" s="108" t="n">
        <v>0</v>
      </c>
      <c r="G30" s="108" t="n">
        <v>1</v>
      </c>
      <c r="H30" s="108" t="n">
        <v>0</v>
      </c>
    </row>
    <row r="31" customFormat="false" ht="23.4" hidden="false" customHeight="false" outlineLevel="0" collapsed="false">
      <c r="A31" s="108" t="s">
        <v>244</v>
      </c>
      <c r="B31" s="108" t="n">
        <v>31</v>
      </c>
      <c r="C31" s="107" t="s">
        <v>143</v>
      </c>
      <c r="D31" s="108" t="n">
        <v>0</v>
      </c>
      <c r="E31" s="108" t="n">
        <v>1</v>
      </c>
      <c r="F31" s="108" t="n">
        <v>0</v>
      </c>
      <c r="G31" s="108" t="n">
        <v>1</v>
      </c>
      <c r="H31" s="108" t="n">
        <v>0</v>
      </c>
    </row>
    <row r="32" customFormat="false" ht="23.4" hidden="false" customHeight="false" outlineLevel="0" collapsed="false">
      <c r="A32" s="108" t="s">
        <v>244</v>
      </c>
      <c r="B32" s="108" t="n">
        <v>32</v>
      </c>
      <c r="C32" s="107" t="s">
        <v>148</v>
      </c>
      <c r="D32" s="108" t="n">
        <v>0</v>
      </c>
      <c r="E32" s="108" t="n">
        <v>1</v>
      </c>
      <c r="F32" s="108" t="n">
        <v>0</v>
      </c>
      <c r="G32" s="108" t="n">
        <v>0</v>
      </c>
      <c r="H32" s="108" t="n">
        <v>1</v>
      </c>
    </row>
    <row r="33" customFormat="false" ht="23.4" hidden="false" customHeight="false" outlineLevel="0" collapsed="false">
      <c r="A33" s="108" t="s">
        <v>244</v>
      </c>
      <c r="B33" s="108" t="n">
        <v>33</v>
      </c>
      <c r="C33" s="107" t="s">
        <v>153</v>
      </c>
      <c r="D33" s="108" t="n">
        <v>0</v>
      </c>
      <c r="E33" s="108" t="n">
        <v>1</v>
      </c>
      <c r="F33" s="108" t="n">
        <v>0</v>
      </c>
      <c r="G33" s="108" t="n">
        <v>1</v>
      </c>
      <c r="H33" s="108" t="n">
        <v>0</v>
      </c>
    </row>
    <row r="34" customFormat="false" ht="23.4" hidden="false" customHeight="false" outlineLevel="0" collapsed="false">
      <c r="A34" s="108" t="s">
        <v>245</v>
      </c>
      <c r="B34" s="108" t="n">
        <v>35</v>
      </c>
      <c r="C34" s="107" t="s">
        <v>157</v>
      </c>
      <c r="D34" s="108" t="n">
        <v>0</v>
      </c>
      <c r="E34" s="108" t="n">
        <v>1</v>
      </c>
      <c r="F34" s="108" t="n">
        <v>0</v>
      </c>
      <c r="G34" s="108" t="n">
        <v>1</v>
      </c>
      <c r="H34" s="108" t="n">
        <v>1</v>
      </c>
    </row>
    <row r="35" customFormat="false" ht="23.4" hidden="false" customHeight="false" outlineLevel="0" collapsed="false">
      <c r="A35" s="108" t="s">
        <v>246</v>
      </c>
      <c r="B35" s="108" t="n">
        <v>36</v>
      </c>
      <c r="C35" s="107" t="s">
        <v>161</v>
      </c>
      <c r="D35" s="108" t="n">
        <v>0</v>
      </c>
      <c r="E35" s="108" t="n">
        <v>1</v>
      </c>
      <c r="F35" s="108" t="n">
        <v>1</v>
      </c>
      <c r="G35" s="108" t="n">
        <v>1</v>
      </c>
      <c r="H35" s="108" t="n">
        <v>0</v>
      </c>
    </row>
    <row r="36" customFormat="false" ht="23.4" hidden="false" customHeight="false" outlineLevel="0" collapsed="false">
      <c r="A36" s="108" t="s">
        <v>246</v>
      </c>
      <c r="B36" s="108" t="n">
        <v>37</v>
      </c>
      <c r="C36" s="107" t="s">
        <v>162</v>
      </c>
      <c r="D36" s="108" t="n">
        <v>0</v>
      </c>
      <c r="E36" s="108" t="n">
        <v>1</v>
      </c>
      <c r="F36" s="108" t="n">
        <v>0</v>
      </c>
      <c r="G36" s="108" t="n">
        <v>1</v>
      </c>
      <c r="H36" s="108" t="n">
        <v>1</v>
      </c>
    </row>
    <row r="37" customFormat="false" ht="23.4" hidden="false" customHeight="false" outlineLevel="0" collapsed="false">
      <c r="A37" s="108" t="s">
        <v>246</v>
      </c>
      <c r="B37" s="108" t="n">
        <v>38</v>
      </c>
      <c r="C37" s="107" t="s">
        <v>163</v>
      </c>
      <c r="D37" s="108" t="n">
        <v>0</v>
      </c>
      <c r="E37" s="108" t="n">
        <v>1</v>
      </c>
      <c r="F37" s="108" t="n">
        <v>0</v>
      </c>
      <c r="G37" s="108" t="n">
        <v>1</v>
      </c>
      <c r="H37" s="108" t="n">
        <v>0</v>
      </c>
    </row>
    <row r="38" customFormat="false" ht="23.4" hidden="false" customHeight="false" outlineLevel="0" collapsed="false">
      <c r="A38" s="108" t="s">
        <v>246</v>
      </c>
      <c r="B38" s="108" t="n">
        <v>39</v>
      </c>
      <c r="C38" s="107" t="s">
        <v>164</v>
      </c>
      <c r="D38" s="108" t="n">
        <v>0</v>
      </c>
      <c r="E38" s="108" t="n">
        <v>1</v>
      </c>
      <c r="F38" s="108" t="n">
        <v>1</v>
      </c>
      <c r="G38" s="108" t="n">
        <v>1</v>
      </c>
      <c r="H38" s="108" t="n">
        <v>0</v>
      </c>
    </row>
    <row r="39" customFormat="false" ht="23.4" hidden="false" customHeight="false" outlineLevel="0" collapsed="false">
      <c r="A39" s="108" t="s">
        <v>247</v>
      </c>
      <c r="B39" s="108" t="n">
        <v>41</v>
      </c>
      <c r="C39" s="107" t="s">
        <v>165</v>
      </c>
      <c r="D39" s="108" t="n">
        <v>0</v>
      </c>
      <c r="E39" s="108" t="n">
        <v>1</v>
      </c>
      <c r="F39" s="108" t="n">
        <v>0</v>
      </c>
      <c r="G39" s="108" t="n">
        <v>0</v>
      </c>
      <c r="H39" s="108" t="n">
        <v>1</v>
      </c>
    </row>
    <row r="40" customFormat="false" ht="23.4" hidden="false" customHeight="false" outlineLevel="0" collapsed="false">
      <c r="A40" s="108" t="s">
        <v>247</v>
      </c>
      <c r="B40" s="108" t="n">
        <v>42</v>
      </c>
      <c r="C40" s="107" t="s">
        <v>166</v>
      </c>
      <c r="D40" s="108" t="n">
        <v>0</v>
      </c>
      <c r="E40" s="108" t="n">
        <v>1</v>
      </c>
      <c r="F40" s="108" t="n">
        <v>0</v>
      </c>
      <c r="G40" s="108" t="n">
        <v>1</v>
      </c>
      <c r="H40" s="108" t="n">
        <v>1</v>
      </c>
    </row>
    <row r="41" customFormat="false" ht="23.4" hidden="false" customHeight="false" outlineLevel="0" collapsed="false">
      <c r="A41" s="108" t="s">
        <v>247</v>
      </c>
      <c r="B41" s="108" t="n">
        <v>43</v>
      </c>
      <c r="C41" s="107" t="s">
        <v>167</v>
      </c>
      <c r="D41" s="108" t="n">
        <v>0</v>
      </c>
      <c r="E41" s="108" t="n">
        <v>1</v>
      </c>
      <c r="F41" s="108" t="n">
        <v>0</v>
      </c>
      <c r="G41" s="108" t="n">
        <v>1</v>
      </c>
      <c r="H41" s="108" t="n">
        <v>1</v>
      </c>
    </row>
    <row r="42" customFormat="false" ht="23.4" hidden="false" customHeight="false" outlineLevel="0" collapsed="false">
      <c r="A42" s="108" t="s">
        <v>248</v>
      </c>
      <c r="B42" s="108" t="n">
        <v>45</v>
      </c>
      <c r="C42" s="107" t="s">
        <v>168</v>
      </c>
      <c r="D42" s="108" t="n">
        <v>0</v>
      </c>
      <c r="E42" s="108" t="n">
        <v>1</v>
      </c>
      <c r="F42" s="108" t="n">
        <v>1</v>
      </c>
      <c r="G42" s="108" t="n">
        <v>1</v>
      </c>
      <c r="H42" s="108" t="n">
        <v>0</v>
      </c>
    </row>
    <row r="43" customFormat="false" ht="23.4" hidden="false" customHeight="false" outlineLevel="0" collapsed="false">
      <c r="A43" s="108" t="s">
        <v>248</v>
      </c>
      <c r="B43" s="108" t="n">
        <v>46</v>
      </c>
      <c r="C43" s="107" t="s">
        <v>169</v>
      </c>
      <c r="D43" s="108" t="n">
        <v>0</v>
      </c>
      <c r="E43" s="108" t="n">
        <v>1</v>
      </c>
      <c r="F43" s="108" t="n">
        <v>1</v>
      </c>
      <c r="G43" s="108" t="n">
        <v>1</v>
      </c>
      <c r="H43" s="108" t="n">
        <v>0</v>
      </c>
    </row>
    <row r="44" customFormat="false" ht="23.4" hidden="false" customHeight="false" outlineLevel="0" collapsed="false">
      <c r="A44" s="108" t="s">
        <v>248</v>
      </c>
      <c r="B44" s="108" t="n">
        <v>47</v>
      </c>
      <c r="C44" s="107" t="s">
        <v>170</v>
      </c>
      <c r="D44" s="108" t="n">
        <v>0</v>
      </c>
      <c r="E44" s="108" t="n">
        <v>1</v>
      </c>
      <c r="F44" s="108" t="n">
        <v>1</v>
      </c>
      <c r="G44" s="108" t="n">
        <v>0</v>
      </c>
      <c r="H44" s="108" t="n">
        <v>0</v>
      </c>
    </row>
    <row r="45" customFormat="false" ht="23.4" hidden="false" customHeight="false" outlineLevel="0" collapsed="false">
      <c r="A45" s="108" t="s">
        <v>249</v>
      </c>
      <c r="B45" s="108" t="n">
        <v>49</v>
      </c>
      <c r="C45" s="107" t="s">
        <v>171</v>
      </c>
      <c r="D45" s="108" t="n">
        <v>0</v>
      </c>
      <c r="E45" s="108" t="n">
        <v>1</v>
      </c>
      <c r="F45" s="108" t="n">
        <v>1</v>
      </c>
      <c r="G45" s="108" t="n">
        <v>1</v>
      </c>
      <c r="H45" s="108" t="n">
        <v>0</v>
      </c>
    </row>
    <row r="46" customFormat="false" ht="23.4" hidden="false" customHeight="false" outlineLevel="0" collapsed="false">
      <c r="A46" s="108" t="s">
        <v>249</v>
      </c>
      <c r="B46" s="108" t="n">
        <v>50</v>
      </c>
      <c r="C46" s="107" t="s">
        <v>172</v>
      </c>
      <c r="D46" s="108" t="n">
        <v>0</v>
      </c>
      <c r="E46" s="108" t="n">
        <v>1</v>
      </c>
      <c r="F46" s="108" t="n">
        <v>1</v>
      </c>
      <c r="G46" s="108" t="n">
        <v>0</v>
      </c>
      <c r="H46" s="108" t="n">
        <v>1</v>
      </c>
    </row>
    <row r="47" customFormat="false" ht="23.4" hidden="false" customHeight="false" outlineLevel="0" collapsed="false">
      <c r="A47" s="108" t="s">
        <v>249</v>
      </c>
      <c r="B47" s="108" t="n">
        <v>51</v>
      </c>
      <c r="C47" s="107" t="s">
        <v>173</v>
      </c>
      <c r="D47" s="108" t="n">
        <v>0</v>
      </c>
      <c r="E47" s="108" t="n">
        <v>1</v>
      </c>
      <c r="F47" s="108" t="n">
        <v>0</v>
      </c>
      <c r="G47" s="108" t="n">
        <v>0</v>
      </c>
      <c r="H47" s="108" t="n">
        <v>1</v>
      </c>
    </row>
    <row r="48" customFormat="false" ht="23.4" hidden="false" customHeight="false" outlineLevel="0" collapsed="false">
      <c r="A48" s="108" t="s">
        <v>249</v>
      </c>
      <c r="B48" s="108" t="n">
        <v>52</v>
      </c>
      <c r="C48" s="107" t="s">
        <v>174</v>
      </c>
      <c r="D48" s="108" t="n">
        <v>0</v>
      </c>
      <c r="E48" s="108" t="n">
        <v>1</v>
      </c>
      <c r="F48" s="108" t="n">
        <v>0</v>
      </c>
      <c r="G48" s="108" t="n">
        <v>0</v>
      </c>
      <c r="H48" s="108" t="n">
        <v>1</v>
      </c>
    </row>
    <row r="49" customFormat="false" ht="23.4" hidden="false" customHeight="false" outlineLevel="0" collapsed="false">
      <c r="A49" s="108" t="s">
        <v>249</v>
      </c>
      <c r="B49" s="108" t="n">
        <v>53</v>
      </c>
      <c r="C49" s="107" t="s">
        <v>175</v>
      </c>
      <c r="D49" s="108" t="n">
        <v>0</v>
      </c>
      <c r="E49" s="108" t="n">
        <v>1</v>
      </c>
      <c r="F49" s="108" t="n">
        <v>1</v>
      </c>
      <c r="G49" s="108" t="n">
        <v>0</v>
      </c>
      <c r="H49" s="108" t="n">
        <v>0</v>
      </c>
    </row>
    <row r="50" customFormat="false" ht="23.4" hidden="false" customHeight="false" outlineLevel="0" collapsed="false">
      <c r="A50" s="108" t="s">
        <v>250</v>
      </c>
      <c r="B50" s="108" t="n">
        <v>55</v>
      </c>
      <c r="C50" s="107" t="s">
        <v>176</v>
      </c>
      <c r="D50" s="108" t="n">
        <v>0</v>
      </c>
      <c r="E50" s="108" t="n">
        <v>1</v>
      </c>
      <c r="F50" s="108" t="n">
        <v>1</v>
      </c>
      <c r="G50" s="108" t="n">
        <v>0</v>
      </c>
      <c r="H50" s="108" t="n">
        <v>0</v>
      </c>
    </row>
    <row r="51" customFormat="false" ht="23.4" hidden="false" customHeight="false" outlineLevel="0" collapsed="false">
      <c r="A51" s="108" t="s">
        <v>250</v>
      </c>
      <c r="B51" s="108" t="n">
        <v>56</v>
      </c>
      <c r="C51" s="107" t="s">
        <v>177</v>
      </c>
      <c r="D51" s="108" t="n">
        <v>0</v>
      </c>
      <c r="E51" s="108" t="n">
        <v>1</v>
      </c>
      <c r="F51" s="108" t="n">
        <v>1</v>
      </c>
      <c r="G51" s="108" t="n">
        <v>0</v>
      </c>
      <c r="H51" s="108" t="n">
        <v>0</v>
      </c>
    </row>
    <row r="52" customFormat="false" ht="23.4" hidden="false" customHeight="false" outlineLevel="0" collapsed="false">
      <c r="A52" s="108" t="s">
        <v>251</v>
      </c>
      <c r="B52" s="108" t="n">
        <v>58</v>
      </c>
      <c r="C52" s="107" t="s">
        <v>178</v>
      </c>
      <c r="D52" s="108" t="n">
        <v>0</v>
      </c>
      <c r="E52" s="108" t="n">
        <v>1</v>
      </c>
      <c r="F52" s="108" t="n">
        <v>0</v>
      </c>
      <c r="G52" s="108" t="n">
        <v>1</v>
      </c>
      <c r="H52" s="108" t="n">
        <v>0</v>
      </c>
    </row>
    <row r="53" customFormat="false" ht="23.4" hidden="false" customHeight="false" outlineLevel="0" collapsed="false">
      <c r="A53" s="108" t="s">
        <v>251</v>
      </c>
      <c r="B53" s="108" t="n">
        <v>59</v>
      </c>
      <c r="C53" s="107" t="s">
        <v>179</v>
      </c>
      <c r="D53" s="108" t="n">
        <v>0</v>
      </c>
      <c r="E53" s="108" t="n">
        <v>1</v>
      </c>
      <c r="F53" s="108" t="n">
        <v>0</v>
      </c>
      <c r="G53" s="108" t="n">
        <v>0</v>
      </c>
      <c r="H53" s="108" t="n">
        <v>0</v>
      </c>
    </row>
    <row r="54" customFormat="false" ht="23.4" hidden="false" customHeight="false" outlineLevel="0" collapsed="false">
      <c r="A54" s="108" t="s">
        <v>251</v>
      </c>
      <c r="B54" s="108" t="n">
        <v>60</v>
      </c>
      <c r="C54" s="107" t="s">
        <v>180</v>
      </c>
      <c r="D54" s="108" t="n">
        <v>0</v>
      </c>
      <c r="E54" s="108" t="n">
        <v>1</v>
      </c>
      <c r="F54" s="108" t="n">
        <v>0</v>
      </c>
      <c r="G54" s="108" t="n">
        <v>0</v>
      </c>
      <c r="H54" s="108" t="n">
        <v>1</v>
      </c>
    </row>
    <row r="55" customFormat="false" ht="23.4" hidden="false" customHeight="false" outlineLevel="0" collapsed="false">
      <c r="A55" s="108" t="s">
        <v>251</v>
      </c>
      <c r="B55" s="108" t="n">
        <v>61</v>
      </c>
      <c r="C55" s="107" t="s">
        <v>181</v>
      </c>
      <c r="D55" s="108" t="n">
        <v>0</v>
      </c>
      <c r="E55" s="108" t="n">
        <v>1</v>
      </c>
      <c r="F55" s="108" t="n">
        <v>0</v>
      </c>
      <c r="G55" s="108" t="n">
        <v>1</v>
      </c>
      <c r="H55" s="108" t="n">
        <v>0</v>
      </c>
    </row>
    <row r="56" customFormat="false" ht="23.4" hidden="false" customHeight="false" outlineLevel="0" collapsed="false">
      <c r="A56" s="108" t="s">
        <v>251</v>
      </c>
      <c r="B56" s="108" t="n">
        <v>62</v>
      </c>
      <c r="C56" s="107" t="s">
        <v>182</v>
      </c>
      <c r="D56" s="108" t="n">
        <v>0</v>
      </c>
      <c r="E56" s="108" t="n">
        <v>1</v>
      </c>
      <c r="F56" s="108" t="n">
        <v>1</v>
      </c>
      <c r="G56" s="108" t="n">
        <v>1</v>
      </c>
      <c r="H56" s="108" t="n">
        <v>0</v>
      </c>
    </row>
    <row r="57" customFormat="false" ht="23.4" hidden="false" customHeight="false" outlineLevel="0" collapsed="false">
      <c r="A57" s="108" t="s">
        <v>251</v>
      </c>
      <c r="B57" s="108" t="n">
        <v>63</v>
      </c>
      <c r="C57" s="107" t="s">
        <v>183</v>
      </c>
      <c r="D57" s="108" t="n">
        <v>0</v>
      </c>
      <c r="E57" s="108" t="n">
        <v>1</v>
      </c>
      <c r="F57" s="108" t="n">
        <v>1</v>
      </c>
      <c r="G57" s="108" t="n">
        <v>0</v>
      </c>
      <c r="H57" s="108" t="n">
        <v>0</v>
      </c>
    </row>
    <row r="58" customFormat="false" ht="23.4" hidden="false" customHeight="false" outlineLevel="0" collapsed="false">
      <c r="A58" s="108" t="s">
        <v>252</v>
      </c>
      <c r="B58" s="108" t="n">
        <v>64</v>
      </c>
      <c r="C58" s="107" t="s">
        <v>184</v>
      </c>
      <c r="D58" s="108" t="n">
        <v>0</v>
      </c>
      <c r="E58" s="108" t="n">
        <v>1</v>
      </c>
      <c r="F58" s="108" t="n">
        <v>0</v>
      </c>
      <c r="G58" s="108" t="n">
        <v>1</v>
      </c>
      <c r="H58" s="108" t="n">
        <v>0</v>
      </c>
    </row>
    <row r="59" customFormat="false" ht="23.4" hidden="false" customHeight="false" outlineLevel="0" collapsed="false">
      <c r="A59" s="108" t="s">
        <v>252</v>
      </c>
      <c r="B59" s="108" t="n">
        <v>65</v>
      </c>
      <c r="C59" s="107" t="s">
        <v>185</v>
      </c>
      <c r="D59" s="108" t="n">
        <v>0</v>
      </c>
      <c r="E59" s="108" t="n">
        <v>1</v>
      </c>
      <c r="F59" s="108" t="n">
        <v>1</v>
      </c>
      <c r="G59" s="108" t="n">
        <v>1</v>
      </c>
      <c r="H59" s="108" t="n">
        <v>0</v>
      </c>
    </row>
    <row r="60" customFormat="false" ht="23.4" hidden="false" customHeight="false" outlineLevel="0" collapsed="false">
      <c r="A60" s="108" t="s">
        <v>252</v>
      </c>
      <c r="B60" s="108" t="n">
        <v>66</v>
      </c>
      <c r="C60" s="107" t="s">
        <v>186</v>
      </c>
      <c r="D60" s="108" t="n">
        <v>0</v>
      </c>
      <c r="E60" s="108" t="n">
        <v>1</v>
      </c>
      <c r="F60" s="108" t="n">
        <v>0</v>
      </c>
      <c r="G60" s="108" t="n">
        <v>1</v>
      </c>
      <c r="H60" s="108" t="n">
        <v>0</v>
      </c>
    </row>
    <row r="61" customFormat="false" ht="23.4" hidden="false" customHeight="false" outlineLevel="0" collapsed="false">
      <c r="A61" s="108" t="s">
        <v>253</v>
      </c>
      <c r="B61" s="108" t="n">
        <v>68</v>
      </c>
      <c r="C61" s="107" t="s">
        <v>187</v>
      </c>
      <c r="D61" s="108" t="n">
        <v>0</v>
      </c>
      <c r="E61" s="108" t="n">
        <v>1</v>
      </c>
      <c r="F61" s="108" t="n">
        <v>1</v>
      </c>
      <c r="G61" s="108" t="n">
        <v>1</v>
      </c>
      <c r="H61" s="108" t="n">
        <v>0</v>
      </c>
    </row>
    <row r="62" customFormat="false" ht="23.4" hidden="false" customHeight="false" outlineLevel="0" collapsed="false">
      <c r="A62" s="108" t="s">
        <v>254</v>
      </c>
      <c r="B62" s="108" t="n">
        <v>69</v>
      </c>
      <c r="C62" s="107" t="s">
        <v>188</v>
      </c>
      <c r="D62" s="108" t="n">
        <v>0</v>
      </c>
      <c r="E62" s="108" t="n">
        <v>1</v>
      </c>
      <c r="F62" s="108" t="n">
        <v>0</v>
      </c>
      <c r="G62" s="108" t="n">
        <v>1</v>
      </c>
      <c r="H62" s="108" t="n">
        <v>0</v>
      </c>
    </row>
    <row r="63" customFormat="false" ht="23.4" hidden="false" customHeight="false" outlineLevel="0" collapsed="false">
      <c r="A63" s="108" t="s">
        <v>254</v>
      </c>
      <c r="B63" s="108" t="n">
        <v>70</v>
      </c>
      <c r="C63" s="107" t="s">
        <v>189</v>
      </c>
      <c r="D63" s="108" t="n">
        <v>0</v>
      </c>
      <c r="E63" s="108" t="n">
        <v>1</v>
      </c>
      <c r="F63" s="108" t="n">
        <v>1</v>
      </c>
      <c r="G63" s="108" t="n">
        <v>0</v>
      </c>
      <c r="H63" s="108" t="n">
        <v>0</v>
      </c>
    </row>
    <row r="64" customFormat="false" ht="23.4" hidden="false" customHeight="false" outlineLevel="0" collapsed="false">
      <c r="A64" s="108" t="s">
        <v>254</v>
      </c>
      <c r="B64" s="108" t="n">
        <v>71</v>
      </c>
      <c r="C64" s="107" t="s">
        <v>190</v>
      </c>
      <c r="D64" s="108" t="n">
        <v>0</v>
      </c>
      <c r="E64" s="108" t="n">
        <v>1</v>
      </c>
      <c r="F64" s="108" t="n">
        <v>0</v>
      </c>
      <c r="G64" s="108" t="n">
        <v>1</v>
      </c>
      <c r="H64" s="108" t="n">
        <v>0</v>
      </c>
    </row>
    <row r="65" customFormat="false" ht="23.4" hidden="false" customHeight="false" outlineLevel="0" collapsed="false">
      <c r="A65" s="108" t="s">
        <v>254</v>
      </c>
      <c r="B65" s="108" t="n">
        <v>72</v>
      </c>
      <c r="C65" s="107" t="s">
        <v>191</v>
      </c>
      <c r="D65" s="108" t="n">
        <v>0</v>
      </c>
      <c r="E65" s="108" t="n">
        <v>1</v>
      </c>
      <c r="F65" s="108" t="n">
        <v>0</v>
      </c>
      <c r="G65" s="108" t="n">
        <v>1</v>
      </c>
      <c r="H65" s="108" t="n">
        <v>0</v>
      </c>
    </row>
    <row r="66" customFormat="false" ht="23.4" hidden="false" customHeight="false" outlineLevel="0" collapsed="false">
      <c r="A66" s="108" t="s">
        <v>254</v>
      </c>
      <c r="B66" s="108" t="n">
        <v>73</v>
      </c>
      <c r="C66" s="107" t="s">
        <v>192</v>
      </c>
      <c r="D66" s="108" t="n">
        <v>0</v>
      </c>
      <c r="E66" s="108" t="n">
        <v>1</v>
      </c>
      <c r="F66" s="108" t="n">
        <v>1</v>
      </c>
      <c r="G66" s="108" t="n">
        <v>1</v>
      </c>
      <c r="H66" s="108" t="n">
        <v>0</v>
      </c>
    </row>
    <row r="67" customFormat="false" ht="23.4" hidden="false" customHeight="false" outlineLevel="0" collapsed="false">
      <c r="A67" s="108" t="s">
        <v>254</v>
      </c>
      <c r="B67" s="108" t="n">
        <v>74</v>
      </c>
      <c r="C67" s="107" t="s">
        <v>193</v>
      </c>
      <c r="D67" s="108" t="n">
        <v>0</v>
      </c>
      <c r="E67" s="108" t="n">
        <v>1</v>
      </c>
      <c r="F67" s="108" t="n">
        <v>1</v>
      </c>
      <c r="G67" s="108" t="n">
        <v>1</v>
      </c>
      <c r="H67" s="108" t="n">
        <v>0</v>
      </c>
    </row>
    <row r="68" customFormat="false" ht="23.4" hidden="false" customHeight="false" outlineLevel="0" collapsed="false">
      <c r="A68" s="108" t="s">
        <v>254</v>
      </c>
      <c r="B68" s="108" t="n">
        <v>75</v>
      </c>
      <c r="C68" s="107" t="s">
        <v>194</v>
      </c>
      <c r="D68" s="108" t="n">
        <v>0</v>
      </c>
      <c r="E68" s="108" t="n">
        <v>1</v>
      </c>
      <c r="F68" s="108" t="n">
        <v>1</v>
      </c>
      <c r="G68" s="108" t="n">
        <v>1</v>
      </c>
      <c r="H68" s="108" t="n">
        <v>0</v>
      </c>
    </row>
    <row r="69" customFormat="false" ht="23.4" hidden="false" customHeight="false" outlineLevel="0" collapsed="false">
      <c r="A69" s="108" t="s">
        <v>255</v>
      </c>
      <c r="B69" s="108" t="n">
        <v>77</v>
      </c>
      <c r="C69" s="107" t="s">
        <v>195</v>
      </c>
      <c r="D69" s="108" t="n">
        <v>0</v>
      </c>
      <c r="E69" s="108" t="n">
        <v>1</v>
      </c>
      <c r="F69" s="108" t="n">
        <v>0</v>
      </c>
      <c r="G69" s="108" t="n">
        <v>1</v>
      </c>
      <c r="H69" s="108" t="n">
        <v>0</v>
      </c>
    </row>
    <row r="70" customFormat="false" ht="23.4" hidden="false" customHeight="false" outlineLevel="0" collapsed="false">
      <c r="A70" s="108" t="s">
        <v>255</v>
      </c>
      <c r="B70" s="108" t="n">
        <v>78</v>
      </c>
      <c r="C70" s="107" t="s">
        <v>196</v>
      </c>
      <c r="D70" s="108" t="n">
        <v>0</v>
      </c>
      <c r="E70" s="108" t="n">
        <v>1</v>
      </c>
      <c r="F70" s="108" t="n">
        <v>1</v>
      </c>
      <c r="G70" s="108" t="n">
        <v>1</v>
      </c>
      <c r="H70" s="108" t="n">
        <v>0</v>
      </c>
    </row>
    <row r="71" customFormat="false" ht="23.4" hidden="false" customHeight="false" outlineLevel="0" collapsed="false">
      <c r="A71" s="108" t="s">
        <v>255</v>
      </c>
      <c r="B71" s="108" t="n">
        <v>79</v>
      </c>
      <c r="C71" s="107" t="s">
        <v>197</v>
      </c>
      <c r="D71" s="108" t="n">
        <v>1</v>
      </c>
      <c r="E71" s="108" t="n">
        <v>1</v>
      </c>
      <c r="F71" s="108" t="n">
        <v>1</v>
      </c>
      <c r="G71" s="108" t="n">
        <v>0</v>
      </c>
      <c r="H71" s="108" t="n">
        <v>0</v>
      </c>
    </row>
    <row r="72" customFormat="false" ht="23.4" hidden="false" customHeight="false" outlineLevel="0" collapsed="false">
      <c r="A72" s="108" t="s">
        <v>255</v>
      </c>
      <c r="B72" s="108" t="n">
        <v>80</v>
      </c>
      <c r="C72" s="107" t="s">
        <v>198</v>
      </c>
      <c r="D72" s="108" t="n">
        <v>0</v>
      </c>
      <c r="E72" s="108" t="n">
        <v>1</v>
      </c>
      <c r="F72" s="108" t="n">
        <v>0</v>
      </c>
      <c r="G72" s="108" t="n">
        <v>0</v>
      </c>
      <c r="H72" s="108" t="n">
        <v>1</v>
      </c>
    </row>
    <row r="73" customFormat="false" ht="23.4" hidden="false" customHeight="false" outlineLevel="0" collapsed="false">
      <c r="A73" s="108" t="s">
        <v>255</v>
      </c>
      <c r="B73" s="108" t="n">
        <v>81</v>
      </c>
      <c r="C73" s="107" t="s">
        <v>199</v>
      </c>
      <c r="D73" s="108" t="n">
        <v>0</v>
      </c>
      <c r="E73" s="108" t="n">
        <v>1</v>
      </c>
      <c r="F73" s="108" t="n">
        <v>1</v>
      </c>
      <c r="G73" s="108" t="n">
        <v>0</v>
      </c>
      <c r="H73" s="108" t="n">
        <v>0</v>
      </c>
    </row>
    <row r="74" customFormat="false" ht="23.4" hidden="false" customHeight="false" outlineLevel="0" collapsed="false">
      <c r="A74" s="108" t="s">
        <v>255</v>
      </c>
      <c r="B74" s="108" t="n">
        <v>82</v>
      </c>
      <c r="C74" s="107" t="s">
        <v>200</v>
      </c>
      <c r="D74" s="108" t="n">
        <v>0</v>
      </c>
      <c r="E74" s="108" t="n">
        <v>1</v>
      </c>
      <c r="F74" s="108" t="n">
        <v>1</v>
      </c>
      <c r="G74" s="108" t="n">
        <v>1</v>
      </c>
      <c r="H74" s="108" t="n">
        <v>0</v>
      </c>
    </row>
    <row r="75" customFormat="false" ht="23.4" hidden="false" customHeight="false" outlineLevel="0" collapsed="false">
      <c r="A75" s="108" t="s">
        <v>256</v>
      </c>
      <c r="B75" s="108" t="n">
        <v>84</v>
      </c>
      <c r="C75" s="107" t="s">
        <v>201</v>
      </c>
      <c r="D75" s="108" t="n">
        <v>0</v>
      </c>
      <c r="E75" s="108" t="n">
        <v>1</v>
      </c>
      <c r="F75" s="108" t="n">
        <v>1</v>
      </c>
      <c r="G75" s="108" t="n">
        <v>1</v>
      </c>
      <c r="H75" s="108" t="n">
        <v>0</v>
      </c>
    </row>
    <row r="76" customFormat="false" ht="23.4" hidden="false" customHeight="false" outlineLevel="0" collapsed="false">
      <c r="A76" s="108" t="s">
        <v>257</v>
      </c>
      <c r="B76" s="108" t="n">
        <v>85</v>
      </c>
      <c r="C76" s="107" t="s">
        <v>202</v>
      </c>
      <c r="D76" s="108" t="n">
        <v>0</v>
      </c>
      <c r="E76" s="108" t="n">
        <v>1</v>
      </c>
      <c r="F76" s="108" t="n">
        <v>1</v>
      </c>
      <c r="G76" s="108" t="n">
        <v>1</v>
      </c>
      <c r="H76" s="108" t="n">
        <v>0</v>
      </c>
    </row>
    <row r="77" customFormat="false" ht="23.4" hidden="false" customHeight="false" outlineLevel="0" collapsed="false">
      <c r="A77" s="108" t="s">
        <v>258</v>
      </c>
      <c r="B77" s="108" t="n">
        <v>86</v>
      </c>
      <c r="C77" s="107" t="s">
        <v>203</v>
      </c>
      <c r="D77" s="108" t="n">
        <v>0</v>
      </c>
      <c r="E77" s="108" t="n">
        <v>1</v>
      </c>
      <c r="F77" s="108" t="n">
        <v>1</v>
      </c>
      <c r="G77" s="108" t="n">
        <v>0</v>
      </c>
      <c r="H77" s="108" t="n">
        <v>0</v>
      </c>
    </row>
    <row r="78" customFormat="false" ht="23.4" hidden="false" customHeight="false" outlineLevel="0" collapsed="false">
      <c r="A78" s="108" t="s">
        <v>258</v>
      </c>
      <c r="B78" s="108" t="n">
        <v>87</v>
      </c>
      <c r="C78" s="107" t="s">
        <v>204</v>
      </c>
      <c r="D78" s="108" t="n">
        <v>0</v>
      </c>
      <c r="E78" s="108" t="n">
        <v>1</v>
      </c>
      <c r="F78" s="108" t="n">
        <v>1</v>
      </c>
      <c r="G78" s="108" t="n">
        <v>0</v>
      </c>
      <c r="H78" s="108" t="n">
        <v>0</v>
      </c>
    </row>
    <row r="79" customFormat="false" ht="23.4" hidden="false" customHeight="false" outlineLevel="0" collapsed="false">
      <c r="A79" s="108" t="s">
        <v>258</v>
      </c>
      <c r="B79" s="108" t="n">
        <v>88</v>
      </c>
      <c r="C79" s="107" t="s">
        <v>205</v>
      </c>
      <c r="D79" s="108" t="n">
        <v>0</v>
      </c>
      <c r="E79" s="108" t="n">
        <v>1</v>
      </c>
      <c r="F79" s="108" t="n">
        <v>1</v>
      </c>
      <c r="G79" s="108" t="n">
        <v>0</v>
      </c>
      <c r="H79" s="108" t="n">
        <v>0</v>
      </c>
    </row>
    <row r="80" customFormat="false" ht="23.4" hidden="false" customHeight="false" outlineLevel="0" collapsed="false">
      <c r="A80" s="108" t="s">
        <v>259</v>
      </c>
      <c r="B80" s="108" t="n">
        <v>90</v>
      </c>
      <c r="C80" s="107" t="s">
        <v>206</v>
      </c>
      <c r="D80" s="108" t="n">
        <v>0</v>
      </c>
      <c r="E80" s="108" t="n">
        <v>1</v>
      </c>
      <c r="F80" s="108" t="n">
        <v>1</v>
      </c>
      <c r="G80" s="108" t="n">
        <v>0</v>
      </c>
      <c r="H80" s="108" t="n">
        <v>0</v>
      </c>
    </row>
    <row r="81" customFormat="false" ht="23.4" hidden="false" customHeight="false" outlineLevel="0" collapsed="false">
      <c r="A81" s="108" t="s">
        <v>259</v>
      </c>
      <c r="B81" s="108" t="n">
        <v>91</v>
      </c>
      <c r="C81" s="107" t="s">
        <v>207</v>
      </c>
      <c r="D81" s="108" t="n">
        <v>1</v>
      </c>
      <c r="E81" s="108" t="n">
        <v>1</v>
      </c>
      <c r="F81" s="108" t="n">
        <v>1</v>
      </c>
      <c r="G81" s="108" t="n">
        <v>0</v>
      </c>
      <c r="H81" s="108" t="n">
        <v>0</v>
      </c>
    </row>
    <row r="82" customFormat="false" ht="23.4" hidden="false" customHeight="false" outlineLevel="0" collapsed="false">
      <c r="A82" s="108" t="s">
        <v>259</v>
      </c>
      <c r="B82" s="108" t="n">
        <v>92</v>
      </c>
      <c r="C82" s="107" t="s">
        <v>208</v>
      </c>
      <c r="D82" s="108"/>
      <c r="E82" s="108"/>
      <c r="F82" s="108"/>
      <c r="G82" s="108"/>
      <c r="H82" s="108"/>
    </row>
    <row r="83" customFormat="false" ht="23.4" hidden="false" customHeight="false" outlineLevel="0" collapsed="false">
      <c r="A83" s="108" t="s">
        <v>259</v>
      </c>
      <c r="B83" s="108" t="n">
        <v>93</v>
      </c>
      <c r="C83" s="107" t="s">
        <v>209</v>
      </c>
      <c r="D83" s="108" t="n">
        <v>0</v>
      </c>
      <c r="E83" s="108" t="n">
        <v>1</v>
      </c>
      <c r="F83" s="108" t="n">
        <v>1</v>
      </c>
      <c r="G83" s="108" t="n">
        <v>0</v>
      </c>
      <c r="H83" s="108" t="n">
        <v>0</v>
      </c>
    </row>
    <row r="84" customFormat="false" ht="23.4" hidden="false" customHeight="false" outlineLevel="0" collapsed="false">
      <c r="A84" s="108" t="s">
        <v>260</v>
      </c>
      <c r="B84" s="108" t="n">
        <v>94</v>
      </c>
      <c r="C84" s="107" t="s">
        <v>210</v>
      </c>
      <c r="D84" s="108" t="n">
        <v>0</v>
      </c>
      <c r="E84" s="108" t="n">
        <v>1</v>
      </c>
      <c r="F84" s="108" t="n">
        <v>0</v>
      </c>
      <c r="G84" s="108" t="n">
        <v>1</v>
      </c>
      <c r="H84" s="108" t="n">
        <v>1</v>
      </c>
    </row>
    <row r="85" customFormat="false" ht="23.4" hidden="false" customHeight="false" outlineLevel="0" collapsed="false">
      <c r="A85" s="108" t="s">
        <v>260</v>
      </c>
      <c r="B85" s="108" t="n">
        <v>95</v>
      </c>
      <c r="C85" s="107" t="s">
        <v>211</v>
      </c>
      <c r="D85" s="108" t="n">
        <v>0</v>
      </c>
      <c r="E85" s="108" t="n">
        <v>1</v>
      </c>
      <c r="F85" s="108" t="n">
        <v>1</v>
      </c>
      <c r="G85" s="108" t="n">
        <v>1</v>
      </c>
      <c r="H85" s="108" t="n">
        <v>0</v>
      </c>
    </row>
    <row r="86" customFormat="false" ht="23.4" hidden="false" customHeight="false" outlineLevel="0" collapsed="false">
      <c r="A86" s="108" t="s">
        <v>260</v>
      </c>
      <c r="B86" s="108" t="n">
        <v>96</v>
      </c>
      <c r="C86" s="107" t="s">
        <v>212</v>
      </c>
      <c r="D86" s="108" t="n">
        <v>0</v>
      </c>
      <c r="E86" s="108" t="n">
        <v>1</v>
      </c>
      <c r="F86" s="108" t="n">
        <v>1</v>
      </c>
      <c r="G86" s="108" t="n">
        <v>0</v>
      </c>
      <c r="H86" s="108" t="n">
        <v>0</v>
      </c>
    </row>
    <row r="87" customFormat="false" ht="23.4" hidden="false" customHeight="false" outlineLevel="0" collapsed="false">
      <c r="A87" s="108" t="s">
        <v>261</v>
      </c>
      <c r="B87" s="108" t="n">
        <v>97</v>
      </c>
      <c r="C87" s="107" t="s">
        <v>213</v>
      </c>
      <c r="D87" s="108" t="n">
        <v>0</v>
      </c>
      <c r="E87" s="108" t="n">
        <v>1</v>
      </c>
      <c r="F87" s="108" t="n">
        <v>0</v>
      </c>
      <c r="G87" s="108" t="n">
        <v>0</v>
      </c>
      <c r="H87" s="108" t="n">
        <v>1</v>
      </c>
    </row>
    <row r="88" customFormat="false" ht="23.4" hidden="false" customHeight="false" outlineLevel="0" collapsed="false">
      <c r="A88" s="108" t="s">
        <v>261</v>
      </c>
      <c r="B88" s="108" t="n">
        <v>98</v>
      </c>
      <c r="C88" s="107" t="s">
        <v>214</v>
      </c>
      <c r="D88" s="108" t="n">
        <v>0</v>
      </c>
      <c r="E88" s="108" t="n">
        <v>1</v>
      </c>
      <c r="F88" s="108" t="n">
        <v>0</v>
      </c>
      <c r="G88" s="108" t="n">
        <v>1</v>
      </c>
      <c r="H88" s="108" t="n">
        <v>0</v>
      </c>
    </row>
    <row r="89" customFormat="false" ht="23.4" hidden="false" customHeight="false" outlineLevel="0" collapsed="false">
      <c r="A89" s="108" t="s">
        <v>262</v>
      </c>
      <c r="B89" s="108" t="n">
        <v>99</v>
      </c>
      <c r="C89" s="107" t="s">
        <v>215</v>
      </c>
      <c r="D89" s="108" t="n">
        <v>0</v>
      </c>
      <c r="E89" s="108" t="n">
        <v>1</v>
      </c>
      <c r="F89" s="108" t="n">
        <v>0</v>
      </c>
      <c r="G89" s="108" t="n">
        <v>1</v>
      </c>
      <c r="H89" s="108" t="n">
        <v>0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2018-09-19T21:41:27Z</dcterms:created>
  <dc:creator>Kuri PS</dc:creator>
  <dc:description/>
  <dc:language>th-TH</dc:language>
  <cp:lastModifiedBy>Recruitment</cp:lastModifiedBy>
  <cp:lastPrinted>2019-02-12T13:27:45Z</cp:lastPrinted>
  <dcterms:modified xsi:type="dcterms:W3CDTF">2026-06-30T16:27:59Z</dcterms:modified>
  <cp:revision>0</cp:revision>
  <dc:subject/>
  <dc:title/>
</cp:coreProperties>
</file>